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guelfernandez/Desktop/Programación/Universidad/Macro_Avanzada/"/>
    </mc:Choice>
  </mc:AlternateContent>
  <xr:revisionPtr revIDLastSave="0" documentId="13_ncr:1_{3284F503-A77F-8545-B28B-8EDB8D38AF70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data_final" sheetId="2" r:id="rId1"/>
    <sheet name="DATOS_BRUTOS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0" l="1"/>
  <c r="P2" i="10" s="1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N6" i="10"/>
  <c r="N5" i="10"/>
  <c r="B4" i="2"/>
  <c r="B5" i="2"/>
  <c r="B6" i="2"/>
  <c r="B7" i="2"/>
  <c r="B8" i="2"/>
  <c r="B9" i="2"/>
  <c r="B10" i="2"/>
  <c r="B11" i="2"/>
  <c r="K12" i="2" s="1"/>
  <c r="B12" i="2"/>
  <c r="B13" i="2"/>
  <c r="B14" i="2"/>
  <c r="B15" i="2"/>
  <c r="B16" i="2"/>
  <c r="B17" i="2"/>
  <c r="B18" i="2"/>
  <c r="B19" i="2"/>
  <c r="K20" i="2" s="1"/>
  <c r="B20" i="2"/>
  <c r="B21" i="2"/>
  <c r="B22" i="2"/>
  <c r="B23" i="2"/>
  <c r="B24" i="2"/>
  <c r="B25" i="2"/>
  <c r="B26" i="2"/>
  <c r="B27" i="2"/>
  <c r="K28" i="2" s="1"/>
  <c r="B28" i="2"/>
  <c r="B29" i="2"/>
  <c r="B30" i="2"/>
  <c r="B31" i="2"/>
  <c r="B32" i="2"/>
  <c r="B33" i="2"/>
  <c r="B34" i="2"/>
  <c r="B35" i="2"/>
  <c r="K36" i="2" s="1"/>
  <c r="B36" i="2"/>
  <c r="B37" i="2"/>
  <c r="B38" i="2"/>
  <c r="B39" i="2"/>
  <c r="B40" i="2"/>
  <c r="B41" i="2"/>
  <c r="B42" i="2"/>
  <c r="B43" i="2"/>
  <c r="K44" i="2" s="1"/>
  <c r="B44" i="2"/>
  <c r="B45" i="2"/>
  <c r="B46" i="2"/>
  <c r="B47" i="2"/>
  <c r="B48" i="2"/>
  <c r="B49" i="2"/>
  <c r="B50" i="2"/>
  <c r="B51" i="2"/>
  <c r="K52" i="2" s="1"/>
  <c r="B52" i="2"/>
  <c r="B53" i="2"/>
  <c r="B54" i="2"/>
  <c r="B55" i="2"/>
  <c r="B56" i="2"/>
  <c r="B57" i="2"/>
  <c r="B58" i="2"/>
  <c r="B59" i="2"/>
  <c r="K60" i="2" s="1"/>
  <c r="B60" i="2"/>
  <c r="B61" i="2"/>
  <c r="B62" i="2"/>
  <c r="B63" i="2"/>
  <c r="B64" i="2"/>
  <c r="B65" i="2"/>
  <c r="B66" i="2"/>
  <c r="B67" i="2"/>
  <c r="K68" i="2" s="1"/>
  <c r="B68" i="2"/>
  <c r="B69" i="2"/>
  <c r="B70" i="2"/>
  <c r="B71" i="2"/>
  <c r="B72" i="2"/>
  <c r="B73" i="2"/>
  <c r="B74" i="2"/>
  <c r="B75" i="2"/>
  <c r="K76" i="2" s="1"/>
  <c r="B76" i="2"/>
  <c r="B77" i="2"/>
  <c r="B78" i="2"/>
  <c r="B79" i="2"/>
  <c r="B80" i="2"/>
  <c r="B81" i="2"/>
  <c r="B82" i="2"/>
  <c r="B83" i="2"/>
  <c r="K84" i="2" s="1"/>
  <c r="B84" i="2"/>
  <c r="B85" i="2"/>
  <c r="B86" i="2"/>
  <c r="B87" i="2"/>
  <c r="B88" i="2"/>
  <c r="B89" i="2"/>
  <c r="B90" i="2"/>
  <c r="B91" i="2"/>
  <c r="K92" i="2" s="1"/>
  <c r="B92" i="2"/>
  <c r="B93" i="2"/>
  <c r="B94" i="2"/>
  <c r="B95" i="2"/>
  <c r="B96" i="2"/>
  <c r="B97" i="2"/>
  <c r="B98" i="2"/>
  <c r="B99" i="2"/>
  <c r="K100" i="2" s="1"/>
  <c r="B100" i="2"/>
  <c r="B101" i="2"/>
  <c r="B102" i="2"/>
  <c r="B103" i="2"/>
  <c r="B104" i="2"/>
  <c r="B105" i="2"/>
  <c r="B106" i="2"/>
  <c r="B107" i="2"/>
  <c r="K108" i="2" s="1"/>
  <c r="B108" i="2"/>
  <c r="B109" i="2"/>
  <c r="B110" i="2"/>
  <c r="B111" i="2"/>
  <c r="B112" i="2"/>
  <c r="B113" i="2"/>
  <c r="B114" i="2"/>
  <c r="B115" i="2"/>
  <c r="K116" i="2" s="1"/>
  <c r="B116" i="2"/>
  <c r="B117" i="2"/>
  <c r="B118" i="2"/>
  <c r="B119" i="2"/>
  <c r="B120" i="2"/>
  <c r="B121" i="2"/>
  <c r="B122" i="2"/>
  <c r="B123" i="2"/>
  <c r="K124" i="2" s="1"/>
  <c r="B124" i="2"/>
  <c r="B125" i="2"/>
  <c r="B126" i="2"/>
  <c r="B127" i="2"/>
  <c r="B128" i="2"/>
  <c r="B129" i="2"/>
  <c r="B130" i="2"/>
  <c r="B131" i="2"/>
  <c r="K132" i="2" s="1"/>
  <c r="B132" i="2"/>
  <c r="B133" i="2"/>
  <c r="B134" i="2"/>
  <c r="B135" i="2"/>
  <c r="B136" i="2"/>
  <c r="B137" i="2"/>
  <c r="B138" i="2"/>
  <c r="B139" i="2"/>
  <c r="K140" i="2" s="1"/>
  <c r="B140" i="2"/>
  <c r="B141" i="2"/>
  <c r="B142" i="2"/>
  <c r="B143" i="2"/>
  <c r="B144" i="2"/>
  <c r="B145" i="2"/>
  <c r="B146" i="2"/>
  <c r="B147" i="2"/>
  <c r="K148" i="2" s="1"/>
  <c r="B148" i="2"/>
  <c r="B149" i="2"/>
  <c r="B150" i="2"/>
  <c r="B151" i="2"/>
  <c r="K152" i="2" s="1"/>
  <c r="B152" i="2"/>
  <c r="B153" i="2"/>
  <c r="B154" i="2"/>
  <c r="B155" i="2"/>
  <c r="B3" i="2"/>
  <c r="K4" i="2" s="1"/>
  <c r="K5" i="2"/>
  <c r="K6" i="2"/>
  <c r="K7" i="2"/>
  <c r="K8" i="2"/>
  <c r="K9" i="2"/>
  <c r="K10" i="2"/>
  <c r="K11" i="2"/>
  <c r="K13" i="2"/>
  <c r="K14" i="2"/>
  <c r="K15" i="2"/>
  <c r="K16" i="2"/>
  <c r="K17" i="2"/>
  <c r="K18" i="2"/>
  <c r="K19" i="2"/>
  <c r="K21" i="2"/>
  <c r="K22" i="2"/>
  <c r="K23" i="2"/>
  <c r="K24" i="2"/>
  <c r="K25" i="2"/>
  <c r="K26" i="2"/>
  <c r="K27" i="2"/>
  <c r="K29" i="2"/>
  <c r="K30" i="2"/>
  <c r="K31" i="2"/>
  <c r="K32" i="2"/>
  <c r="K33" i="2"/>
  <c r="K34" i="2"/>
  <c r="K35" i="2"/>
  <c r="K37" i="2"/>
  <c r="K38" i="2"/>
  <c r="K39" i="2"/>
  <c r="K40" i="2"/>
  <c r="K41" i="2"/>
  <c r="K42" i="2"/>
  <c r="K43" i="2"/>
  <c r="K45" i="2"/>
  <c r="K46" i="2"/>
  <c r="K47" i="2"/>
  <c r="K48" i="2"/>
  <c r="K49" i="2"/>
  <c r="K50" i="2"/>
  <c r="K51" i="2"/>
  <c r="K53" i="2"/>
  <c r="K54" i="2"/>
  <c r="K55" i="2"/>
  <c r="K56" i="2"/>
  <c r="K57" i="2"/>
  <c r="K58" i="2"/>
  <c r="K59" i="2"/>
  <c r="K61" i="2"/>
  <c r="K62" i="2"/>
  <c r="K63" i="2"/>
  <c r="K64" i="2"/>
  <c r="K65" i="2"/>
  <c r="K66" i="2"/>
  <c r="K67" i="2"/>
  <c r="K69" i="2"/>
  <c r="K70" i="2"/>
  <c r="K71" i="2"/>
  <c r="K72" i="2"/>
  <c r="K73" i="2"/>
  <c r="K74" i="2"/>
  <c r="K75" i="2"/>
  <c r="K77" i="2"/>
  <c r="K78" i="2"/>
  <c r="K79" i="2"/>
  <c r="K80" i="2"/>
  <c r="K81" i="2"/>
  <c r="K82" i="2"/>
  <c r="K83" i="2"/>
  <c r="K85" i="2"/>
  <c r="K86" i="2"/>
  <c r="K87" i="2"/>
  <c r="K88" i="2"/>
  <c r="K89" i="2"/>
  <c r="K90" i="2"/>
  <c r="K91" i="2"/>
  <c r="K93" i="2"/>
  <c r="K94" i="2"/>
  <c r="K95" i="2"/>
  <c r="K96" i="2"/>
  <c r="K97" i="2"/>
  <c r="K98" i="2"/>
  <c r="K99" i="2"/>
  <c r="K101" i="2"/>
  <c r="K102" i="2"/>
  <c r="K103" i="2"/>
  <c r="K104" i="2"/>
  <c r="K105" i="2"/>
  <c r="K106" i="2"/>
  <c r="K107" i="2"/>
  <c r="K109" i="2"/>
  <c r="K110" i="2"/>
  <c r="K111" i="2"/>
  <c r="K112" i="2"/>
  <c r="K113" i="2"/>
  <c r="K114" i="2"/>
  <c r="K115" i="2"/>
  <c r="K117" i="2"/>
  <c r="K118" i="2"/>
  <c r="K119" i="2"/>
  <c r="K120" i="2"/>
  <c r="K121" i="2"/>
  <c r="K122" i="2"/>
  <c r="K123" i="2"/>
  <c r="K125" i="2"/>
  <c r="K126" i="2"/>
  <c r="K127" i="2"/>
  <c r="K128" i="2"/>
  <c r="K129" i="2"/>
  <c r="K130" i="2"/>
  <c r="K131" i="2"/>
  <c r="K133" i="2"/>
  <c r="K134" i="2"/>
  <c r="K135" i="2"/>
  <c r="K136" i="2"/>
  <c r="K137" i="2"/>
  <c r="K138" i="2"/>
  <c r="K139" i="2"/>
  <c r="K141" i="2"/>
  <c r="K142" i="2"/>
  <c r="K143" i="2"/>
  <c r="K144" i="2"/>
  <c r="K145" i="2"/>
  <c r="K146" i="2"/>
  <c r="K147" i="2"/>
  <c r="K149" i="2"/>
  <c r="K150" i="2"/>
  <c r="K151" i="2"/>
  <c r="K153" i="2"/>
  <c r="K154" i="2"/>
  <c r="K155" i="2"/>
  <c r="K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2" i="2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M6" i="10"/>
  <c r="M5" i="10"/>
  <c r="M4" i="10"/>
  <c r="M3" i="10"/>
  <c r="M2" i="10"/>
</calcChain>
</file>

<file path=xl/sharedStrings.xml><?xml version="1.0" encoding="utf-8"?>
<sst xmlns="http://schemas.openxmlformats.org/spreadsheetml/2006/main" count="25" uniqueCount="25">
  <si>
    <t>observation_date</t>
  </si>
  <si>
    <t>Renta disponible</t>
  </si>
  <si>
    <t>r_CP</t>
  </si>
  <si>
    <t>r_LP</t>
  </si>
  <si>
    <t>unemployment</t>
  </si>
  <si>
    <t>M3</t>
  </si>
  <si>
    <t>house</t>
  </si>
  <si>
    <t>PIB</t>
  </si>
  <si>
    <t>%Consumo</t>
  </si>
  <si>
    <t xml:space="preserve">Consumo </t>
  </si>
  <si>
    <t>DEFLACTOR</t>
  </si>
  <si>
    <t>M3_REAL_BILLIONS</t>
  </si>
  <si>
    <t>t</t>
  </si>
  <si>
    <t>LN(ct)</t>
  </si>
  <si>
    <t>delta_ln_ct</t>
  </si>
  <si>
    <t>y_t^d</t>
  </si>
  <si>
    <t>r_t^cp</t>
  </si>
  <si>
    <t>r_t^lp</t>
  </si>
  <si>
    <t>delta_u_t</t>
  </si>
  <si>
    <t>gap_y^d</t>
  </si>
  <si>
    <t>y^d medio ultimo año</t>
  </si>
  <si>
    <t>AL_t-1</t>
  </si>
  <si>
    <t>IA_t-1</t>
  </si>
  <si>
    <t>ln_yt</t>
  </si>
  <si>
    <t>ln_ct-1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</si>
</sst>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top"/>
    </xf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"/>
  <sheetViews>
    <sheetView tabSelected="1" workbookViewId="0">
      <selection activeCell="H2" sqref="H2"/>
    </sheetView>
  </sheetViews>
  <sheetFormatPr baseColWidth="10" defaultColWidth="9.1640625" defaultRowHeight="15" x14ac:dyDescent="0.2"/>
  <cols>
    <col min="1" max="1" width="11.83203125" bestFit="1" customWidth="1"/>
    <col min="2" max="2" width="10.83203125" bestFit="1" customWidth="1"/>
  </cols>
  <sheetData>
    <row r="1" spans="1:11" x14ac:dyDescent="0.2">
      <c r="A1" t="s">
        <v>12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">
      <c r="A2" s="6">
        <v>31778</v>
      </c>
      <c r="C2" s="5">
        <v>6516.4650000000001</v>
      </c>
      <c r="D2">
        <v>2.6875294000000003</v>
      </c>
      <c r="E2">
        <v>3.5793108433333329</v>
      </c>
      <c r="J2">
        <f>LN(C2)</f>
        <v>8.7820873299749955</v>
      </c>
    </row>
    <row r="3" spans="1:11" x14ac:dyDescent="0.2">
      <c r="A3" s="6">
        <v>31868</v>
      </c>
      <c r="B3">
        <f>DATOS_BRUTOS!M3-DATOS_BRUTOS!M2</f>
        <v>1.5459672266580071E-2</v>
      </c>
      <c r="C3" s="5">
        <v>6449.165</v>
      </c>
      <c r="D3">
        <v>2.4890473333333336</v>
      </c>
      <c r="E3">
        <v>4.1507754100000005</v>
      </c>
      <c r="F3">
        <v>-0.33333333333333215</v>
      </c>
      <c r="H3">
        <v>24.582886106141917</v>
      </c>
      <c r="J3">
        <f t="shared" ref="J3:J66" si="0">LN(C3)</f>
        <v>8.7717059440451486</v>
      </c>
      <c r="K3">
        <f>B2</f>
        <v>0</v>
      </c>
    </row>
    <row r="4" spans="1:11" x14ac:dyDescent="0.2">
      <c r="A4" s="6">
        <v>31959</v>
      </c>
      <c r="B4">
        <f>DATOS_BRUTOS!M4-DATOS_BRUTOS!M3</f>
        <v>1.3347680785173566E-2</v>
      </c>
      <c r="C4" s="5">
        <v>6565.0519999999997</v>
      </c>
      <c r="D4">
        <v>2.4072695666666668</v>
      </c>
      <c r="E4">
        <v>4.4539868633333333</v>
      </c>
      <c r="F4">
        <v>-0.26666666666666661</v>
      </c>
      <c r="H4">
        <v>24.514078673117123</v>
      </c>
      <c r="I4">
        <v>17442719</v>
      </c>
      <c r="J4">
        <f t="shared" si="0"/>
        <v>8.7895157074976069</v>
      </c>
      <c r="K4">
        <f t="shared" ref="K4:K67" si="1">B3</f>
        <v>1.5459672266580071E-2</v>
      </c>
    </row>
    <row r="5" spans="1:11" x14ac:dyDescent="0.2">
      <c r="A5" s="6">
        <v>32051</v>
      </c>
      <c r="B5">
        <f>DATOS_BRUTOS!M5-DATOS_BRUTOS!M4</f>
        <v>2.8168106882091593E-3</v>
      </c>
      <c r="C5" s="5">
        <v>6659.7420000000002</v>
      </c>
      <c r="D5">
        <v>3.1668136333333337</v>
      </c>
      <c r="E5">
        <v>4.6879830100000008</v>
      </c>
      <c r="F5">
        <v>-0.16666666666666696</v>
      </c>
      <c r="G5" s="5">
        <v>112.13600000000042</v>
      </c>
      <c r="H5">
        <v>24.406871625228632</v>
      </c>
      <c r="I5">
        <v>17926176</v>
      </c>
      <c r="J5">
        <f t="shared" si="0"/>
        <v>8.8038360240453315</v>
      </c>
      <c r="K5">
        <f t="shared" si="1"/>
        <v>1.3347680785173566E-2</v>
      </c>
    </row>
    <row r="6" spans="1:11" x14ac:dyDescent="0.2">
      <c r="A6" s="6">
        <v>32143</v>
      </c>
      <c r="B6">
        <f>DATOS_BRUTOS!M6-DATOS_BRUTOS!M5</f>
        <v>1.7793911752475466E-2</v>
      </c>
      <c r="C6" s="5">
        <v>6769.32</v>
      </c>
      <c r="D6">
        <v>2.6763224999999999</v>
      </c>
      <c r="E6">
        <v>4.2488309166666669</v>
      </c>
      <c r="F6">
        <v>-0.13333333333333286</v>
      </c>
      <c r="G6" s="5">
        <v>158.50024999999914</v>
      </c>
      <c r="H6">
        <v>24.451226737649531</v>
      </c>
      <c r="I6">
        <v>18336577</v>
      </c>
      <c r="J6">
        <f t="shared" si="0"/>
        <v>8.8201559177301085</v>
      </c>
      <c r="K6">
        <f t="shared" si="1"/>
        <v>2.8168106882091593E-3</v>
      </c>
    </row>
    <row r="7" spans="1:11" x14ac:dyDescent="0.2">
      <c r="A7" s="6">
        <v>32234</v>
      </c>
      <c r="B7">
        <f>DATOS_BRUTOS!M7-DATOS_BRUTOS!M6</f>
        <v>8.3340365405870642E-3</v>
      </c>
      <c r="C7" s="5">
        <v>6846.7430000000004</v>
      </c>
      <c r="D7">
        <v>2.9466913333333338</v>
      </c>
      <c r="E7">
        <v>4.5212363033333327</v>
      </c>
      <c r="F7">
        <v>-0.23333333333333428</v>
      </c>
      <c r="G7" s="5">
        <v>136.52874999999949</v>
      </c>
      <c r="H7">
        <v>24.687481180043534</v>
      </c>
      <c r="I7">
        <v>18643587</v>
      </c>
      <c r="J7">
        <f t="shared" si="0"/>
        <v>8.8315283437298948</v>
      </c>
      <c r="K7">
        <f t="shared" si="1"/>
        <v>1.7793911752475466E-2</v>
      </c>
    </row>
    <row r="8" spans="1:11" x14ac:dyDescent="0.2">
      <c r="A8" s="6">
        <v>32325</v>
      </c>
      <c r="B8">
        <f>DATOS_BRUTOS!M8-DATOS_BRUTOS!M7</f>
        <v>8.9922041076722081E-3</v>
      </c>
      <c r="C8" s="5">
        <v>6916.3909999999996</v>
      </c>
      <c r="D8">
        <v>3.0389479666666666</v>
      </c>
      <c r="E8">
        <v>4.5619859399999996</v>
      </c>
      <c r="F8">
        <v>0</v>
      </c>
      <c r="G8" s="5">
        <v>118.34199999999964</v>
      </c>
      <c r="H8">
        <v>24.879713978695836</v>
      </c>
      <c r="I8">
        <v>19122046</v>
      </c>
      <c r="J8">
        <f t="shared" si="0"/>
        <v>8.8416493807747987</v>
      </c>
      <c r="K8">
        <f t="shared" si="1"/>
        <v>8.3340365405870642E-3</v>
      </c>
    </row>
    <row r="9" spans="1:11" x14ac:dyDescent="0.2">
      <c r="A9" s="6">
        <v>32417</v>
      </c>
      <c r="B9">
        <f>DATOS_BRUTOS!M9-DATOS_BRUTOS!M8</f>
        <v>1.3236569374035057E-2</v>
      </c>
      <c r="C9" s="5">
        <v>6982.3040000000001</v>
      </c>
      <c r="D9">
        <v>3.1446435333333334</v>
      </c>
      <c r="E9">
        <v>4.4795516033333334</v>
      </c>
      <c r="F9">
        <v>-0.13333333333333286</v>
      </c>
      <c r="G9" s="5">
        <v>103.61450000000059</v>
      </c>
      <c r="H9">
        <v>24.807002801120447</v>
      </c>
      <c r="I9">
        <v>19528780</v>
      </c>
      <c r="J9">
        <f t="shared" si="0"/>
        <v>8.8511342272499185</v>
      </c>
      <c r="K9">
        <f t="shared" si="1"/>
        <v>8.9922041076722081E-3</v>
      </c>
    </row>
    <row r="10" spans="1:11" x14ac:dyDescent="0.2">
      <c r="A10" s="6">
        <v>32509</v>
      </c>
      <c r="B10">
        <f>DATOS_BRUTOS!M10-DATOS_BRUTOS!M9</f>
        <v>5.3845027302656945E-3</v>
      </c>
      <c r="C10" s="5">
        <v>7057.8010000000004</v>
      </c>
      <c r="D10">
        <v>3.3764940666666665</v>
      </c>
      <c r="E10">
        <v>4.856265266666667</v>
      </c>
      <c r="F10">
        <v>-0.13333333333333286</v>
      </c>
      <c r="G10" s="5">
        <v>106.99125000000004</v>
      </c>
      <c r="H10">
        <v>24.753948462177888</v>
      </c>
      <c r="I10">
        <v>19910435</v>
      </c>
      <c r="J10">
        <f t="shared" si="0"/>
        <v>8.8618888088816519</v>
      </c>
      <c r="K10">
        <f t="shared" si="1"/>
        <v>1.3236569374035057E-2</v>
      </c>
    </row>
    <row r="11" spans="1:11" x14ac:dyDescent="0.2">
      <c r="A11" s="6">
        <v>32599</v>
      </c>
      <c r="B11">
        <f>DATOS_BRUTOS!M11-DATOS_BRUTOS!M10</f>
        <v>7.6020278003454678E-3</v>
      </c>
      <c r="C11" s="5">
        <v>7034.6220000000003</v>
      </c>
      <c r="D11">
        <v>4.3389702999999997</v>
      </c>
      <c r="E11">
        <v>4.6372927233333341</v>
      </c>
      <c r="F11">
        <v>3.3333333333333215E-2</v>
      </c>
      <c r="G11" s="5">
        <v>36.842500000000655</v>
      </c>
      <c r="H11">
        <v>24.612535308122443</v>
      </c>
      <c r="I11">
        <v>20439984</v>
      </c>
      <c r="J11">
        <f t="shared" si="0"/>
        <v>8.8585992367616253</v>
      </c>
      <c r="K11">
        <f t="shared" si="1"/>
        <v>5.3845027302656945E-3</v>
      </c>
    </row>
    <row r="12" spans="1:11" x14ac:dyDescent="0.2">
      <c r="A12" s="6">
        <v>32690</v>
      </c>
      <c r="B12">
        <f>DATOS_BRUTOS!M12-DATOS_BRUTOS!M11</f>
        <v>8.9585888101400002E-3</v>
      </c>
      <c r="C12" s="5">
        <v>7080.9</v>
      </c>
      <c r="D12">
        <v>3.8685506000000003</v>
      </c>
      <c r="E12">
        <v>4.0063667966666658</v>
      </c>
      <c r="F12">
        <v>0</v>
      </c>
      <c r="G12" s="5">
        <v>41.993249999999534</v>
      </c>
      <c r="H12">
        <v>24.388040949153272</v>
      </c>
      <c r="I12">
        <v>20817953</v>
      </c>
      <c r="J12">
        <f t="shared" si="0"/>
        <v>8.865156297252943</v>
      </c>
      <c r="K12">
        <f t="shared" si="1"/>
        <v>7.6020278003454678E-3</v>
      </c>
    </row>
    <row r="13" spans="1:11" x14ac:dyDescent="0.2">
      <c r="A13" s="6">
        <v>32782</v>
      </c>
      <c r="B13">
        <f>DATOS_BRUTOS!M13-DATOS_BRUTOS!M12</f>
        <v>5.117481923855749E-3</v>
      </c>
      <c r="C13" s="5">
        <v>7141.7740000000003</v>
      </c>
      <c r="D13">
        <v>3.9063789999999998</v>
      </c>
      <c r="E13">
        <v>4.1189947033333327</v>
      </c>
      <c r="F13">
        <v>0.13333333333333375</v>
      </c>
      <c r="G13" s="5">
        <v>62.999749999999949</v>
      </c>
      <c r="H13">
        <v>24.663723916532906</v>
      </c>
      <c r="I13">
        <v>20867937</v>
      </c>
      <c r="J13">
        <f t="shared" si="0"/>
        <v>8.8737164838564624</v>
      </c>
      <c r="K13">
        <f t="shared" si="1"/>
        <v>8.9585888101400002E-3</v>
      </c>
    </row>
    <row r="14" spans="1:11" x14ac:dyDescent="0.2">
      <c r="A14" s="6">
        <v>32874</v>
      </c>
      <c r="B14">
        <f>DATOS_BRUTOS!M14-DATOS_BRUTOS!M13</f>
        <v>1.0869532462093545E-2</v>
      </c>
      <c r="C14" s="5">
        <v>7198.9880000000003</v>
      </c>
      <c r="D14">
        <v>3.8737188000000002</v>
      </c>
      <c r="E14">
        <v>4.3488394700000006</v>
      </c>
      <c r="F14">
        <v>-6.6666666666667318E-2</v>
      </c>
      <c r="G14" s="5">
        <v>84.916999999999462</v>
      </c>
      <c r="H14">
        <v>24.893737039891313</v>
      </c>
      <c r="I14">
        <v>21150025</v>
      </c>
      <c r="J14">
        <f t="shared" si="0"/>
        <v>8.881695739569734</v>
      </c>
      <c r="K14">
        <f t="shared" si="1"/>
        <v>5.117481923855749E-3</v>
      </c>
    </row>
    <row r="15" spans="1:11" x14ac:dyDescent="0.2">
      <c r="A15" s="6">
        <v>32964</v>
      </c>
      <c r="B15">
        <f>DATOS_BRUTOS!M15-DATOS_BRUTOS!M14</f>
        <v>2.049564389407621E-3</v>
      </c>
      <c r="C15" s="5">
        <v>7252.12</v>
      </c>
      <c r="D15">
        <v>4.1856779666666659</v>
      </c>
      <c r="E15">
        <v>4.5799449566666661</v>
      </c>
      <c r="F15">
        <v>3.3333333333333215E-2</v>
      </c>
      <c r="G15" s="5">
        <v>83.67450000000008</v>
      </c>
      <c r="H15">
        <v>24.827192989307445</v>
      </c>
      <c r="I15">
        <v>21028278</v>
      </c>
      <c r="J15">
        <f t="shared" si="0"/>
        <v>8.889049118897244</v>
      </c>
      <c r="K15">
        <f t="shared" si="1"/>
        <v>1.0869532462093545E-2</v>
      </c>
    </row>
    <row r="16" spans="1:11" x14ac:dyDescent="0.2">
      <c r="A16" s="6">
        <v>33055</v>
      </c>
      <c r="B16">
        <f>DATOS_BRUTOS!M16-DATOS_BRUTOS!M15</f>
        <v>8.5087726966435184E-3</v>
      </c>
      <c r="C16" s="5">
        <v>7253.0720000000001</v>
      </c>
      <c r="D16">
        <v>3.6816753333333332</v>
      </c>
      <c r="E16">
        <v>4.3036984233333326</v>
      </c>
      <c r="F16">
        <v>0.36666666666666714</v>
      </c>
      <c r="G16" s="5">
        <v>41.583499999999731</v>
      </c>
      <c r="H16">
        <v>24.789636504253671</v>
      </c>
      <c r="I16">
        <v>21472372</v>
      </c>
      <c r="J16">
        <f t="shared" si="0"/>
        <v>8.8891803822409301</v>
      </c>
      <c r="K16">
        <f t="shared" si="1"/>
        <v>2.049564389407621E-3</v>
      </c>
    </row>
    <row r="17" spans="1:11" x14ac:dyDescent="0.2">
      <c r="A17" s="6">
        <v>33147</v>
      </c>
      <c r="B17">
        <f>DATOS_BRUTOS!M17-DATOS_BRUTOS!M16</f>
        <v>-2.9151908974345275E-3</v>
      </c>
      <c r="C17" s="5">
        <v>7195.1450000000004</v>
      </c>
      <c r="D17">
        <v>2.2430903999999998</v>
      </c>
      <c r="E17">
        <v>4.0511048999999995</v>
      </c>
      <c r="F17">
        <v>0.43333333333333357</v>
      </c>
      <c r="G17" s="5">
        <v>-29.686249999999745</v>
      </c>
      <c r="H17">
        <v>24.635389344625811</v>
      </c>
      <c r="I17">
        <v>21948773</v>
      </c>
      <c r="J17">
        <f t="shared" si="0"/>
        <v>8.8811617720023488</v>
      </c>
      <c r="K17">
        <f t="shared" si="1"/>
        <v>8.5087726966435184E-3</v>
      </c>
    </row>
    <row r="18" spans="1:11" x14ac:dyDescent="0.2">
      <c r="A18" s="6">
        <v>33239</v>
      </c>
      <c r="B18">
        <f>DATOS_BRUTOS!M18-DATOS_BRUTOS!M17</f>
        <v>-7.800811562900023E-3</v>
      </c>
      <c r="C18" s="5">
        <v>7217.2030000000004</v>
      </c>
      <c r="D18">
        <v>2.8422359666666668</v>
      </c>
      <c r="E18">
        <v>4.0019403833333334</v>
      </c>
      <c r="F18">
        <v>0.46666666666666679</v>
      </c>
      <c r="G18" s="5">
        <v>-12.181999999999789</v>
      </c>
      <c r="H18">
        <v>24.404873150079368</v>
      </c>
      <c r="I18">
        <v>22025596</v>
      </c>
      <c r="J18">
        <f t="shared" si="0"/>
        <v>8.8842227607077255</v>
      </c>
      <c r="K18">
        <f t="shared" si="1"/>
        <v>-2.9151908974345275E-3</v>
      </c>
    </row>
    <row r="19" spans="1:11" x14ac:dyDescent="0.2">
      <c r="A19" s="6">
        <v>33329</v>
      </c>
      <c r="B19">
        <f>DATOS_BRUTOS!M19-DATOS_BRUTOS!M18</f>
        <v>6.2078051247702604E-3</v>
      </c>
      <c r="C19" s="5">
        <v>7271.4120000000003</v>
      </c>
      <c r="D19">
        <v>3.1769173666666664</v>
      </c>
      <c r="E19">
        <v>4.1157978899999996</v>
      </c>
      <c r="F19">
        <v>0.2333333333333325</v>
      </c>
      <c r="G19" s="5">
        <v>37.203999999999724</v>
      </c>
      <c r="H19">
        <v>24.521581692847654</v>
      </c>
      <c r="I19">
        <v>22364257</v>
      </c>
      <c r="J19">
        <f t="shared" si="0"/>
        <v>8.8917057745023147</v>
      </c>
      <c r="K19">
        <f t="shared" si="1"/>
        <v>-7.800811562900023E-3</v>
      </c>
    </row>
    <row r="20" spans="1:11" x14ac:dyDescent="0.2">
      <c r="A20" s="6">
        <v>33420</v>
      </c>
      <c r="B20">
        <f>DATOS_BRUTOS!M20-DATOS_BRUTOS!M19</f>
        <v>3.4795797864539679E-3</v>
      </c>
      <c r="C20" s="5">
        <v>7299.3810000000003</v>
      </c>
      <c r="D20">
        <v>2.7331467000000003</v>
      </c>
      <c r="E20">
        <v>4.0802222300000004</v>
      </c>
      <c r="F20">
        <v>3.3333333333334103E-2</v>
      </c>
      <c r="G20" s="5">
        <v>53.595749999999498</v>
      </c>
      <c r="H20">
        <v>24.655213535250713</v>
      </c>
      <c r="I20">
        <v>22953540</v>
      </c>
      <c r="J20">
        <f t="shared" si="0"/>
        <v>8.8955448290206753</v>
      </c>
      <c r="K20">
        <f t="shared" si="1"/>
        <v>6.2078051247702604E-3</v>
      </c>
    </row>
    <row r="21" spans="1:11" x14ac:dyDescent="0.2">
      <c r="A21" s="6">
        <v>33512</v>
      </c>
      <c r="B21">
        <f>DATOS_BRUTOS!M21-DATOS_BRUTOS!M20</f>
        <v>1.9156663719250844E-3</v>
      </c>
      <c r="C21" s="5">
        <v>7356.6790000000001</v>
      </c>
      <c r="D21">
        <v>1.9548262333333331</v>
      </c>
      <c r="E21">
        <v>3.53775108</v>
      </c>
      <c r="F21">
        <v>0.23333333333333339</v>
      </c>
      <c r="G21" s="5">
        <v>70.51024999999936</v>
      </c>
      <c r="H21">
        <v>24.563201561737436</v>
      </c>
      <c r="I21">
        <v>22967781</v>
      </c>
      <c r="J21">
        <f t="shared" si="0"/>
        <v>8.9033638870651828</v>
      </c>
      <c r="K21">
        <f t="shared" si="1"/>
        <v>3.4795797864539679E-3</v>
      </c>
    </row>
    <row r="22" spans="1:11" x14ac:dyDescent="0.2">
      <c r="A22" s="6">
        <v>33604</v>
      </c>
      <c r="B22">
        <f>DATOS_BRUTOS!M22-DATOS_BRUTOS!M21</f>
        <v>1.9695690148244793E-2</v>
      </c>
      <c r="C22" s="5">
        <v>7498.634</v>
      </c>
      <c r="D22">
        <v>1.4429441666666667</v>
      </c>
      <c r="E22">
        <v>3.4956996733333328</v>
      </c>
      <c r="F22">
        <v>0.26666666666666661</v>
      </c>
      <c r="G22" s="5">
        <v>142.10750000000007</v>
      </c>
      <c r="H22">
        <v>24.438103674016634</v>
      </c>
      <c r="I22">
        <v>23090254</v>
      </c>
      <c r="J22">
        <f t="shared" si="0"/>
        <v>8.9224761496027796</v>
      </c>
      <c r="K22">
        <f t="shared" si="1"/>
        <v>1.9156663719250844E-3</v>
      </c>
    </row>
    <row r="23" spans="1:11" x14ac:dyDescent="0.2">
      <c r="A23" s="6">
        <v>33695</v>
      </c>
      <c r="B23">
        <f>DATOS_BRUTOS!M23-DATOS_BRUTOS!M22</f>
        <v>7.6742461783183558E-3</v>
      </c>
      <c r="C23" s="5">
        <v>7568.9549999999999</v>
      </c>
      <c r="D23">
        <v>1.4980973000000002</v>
      </c>
      <c r="E23">
        <v>3.7015354999999999</v>
      </c>
      <c r="F23">
        <v>0.23333333333333339</v>
      </c>
      <c r="G23" s="5">
        <v>138.0427499999987</v>
      </c>
      <c r="H23">
        <v>24.483354607320656</v>
      </c>
      <c r="I23">
        <v>23471524</v>
      </c>
      <c r="J23">
        <f t="shared" si="0"/>
        <v>8.9318102919882829</v>
      </c>
      <c r="K23">
        <f t="shared" si="1"/>
        <v>1.9695690148244793E-2</v>
      </c>
    </row>
    <row r="24" spans="1:11" x14ac:dyDescent="0.2">
      <c r="A24" s="6">
        <v>33786</v>
      </c>
      <c r="B24">
        <f>DATOS_BRUTOS!M24-DATOS_BRUTOS!M23</f>
        <v>1.2943025413138187E-2</v>
      </c>
      <c r="C24" s="5">
        <v>7601.7359999999999</v>
      </c>
      <c r="D24">
        <v>1.10201091</v>
      </c>
      <c r="E24">
        <v>3.1450881333333331</v>
      </c>
      <c r="F24">
        <v>3.3333333333332327E-2</v>
      </c>
      <c r="G24" s="5">
        <v>95.234999999999673</v>
      </c>
      <c r="H24">
        <v>24.312319447326928</v>
      </c>
      <c r="I24">
        <v>24073287</v>
      </c>
      <c r="J24">
        <f t="shared" si="0"/>
        <v>8.9361319212429375</v>
      </c>
      <c r="K24">
        <f t="shared" si="1"/>
        <v>7.6742461783183558E-3</v>
      </c>
    </row>
    <row r="25" spans="1:11" x14ac:dyDescent="0.2">
      <c r="A25" s="6">
        <v>33878</v>
      </c>
      <c r="B25">
        <f>DATOS_BRUTOS!M25-DATOS_BRUTOS!M24</f>
        <v>1.1926144414733386E-2</v>
      </c>
      <c r="C25" s="5">
        <v>7635.4260000000004</v>
      </c>
      <c r="D25">
        <v>0.91430723000000003</v>
      </c>
      <c r="E25">
        <v>3.1874541733333337</v>
      </c>
      <c r="F25">
        <v>-0.26666666666666572</v>
      </c>
      <c r="G25" s="5">
        <v>59.238250000000335</v>
      </c>
      <c r="H25">
        <v>24.154829545454543</v>
      </c>
      <c r="I25">
        <v>24393522</v>
      </c>
      <c r="J25">
        <f t="shared" si="0"/>
        <v>8.9405540117740117</v>
      </c>
      <c r="K25">
        <f t="shared" si="1"/>
        <v>1.2943025413138187E-2</v>
      </c>
    </row>
    <row r="26" spans="1:11" x14ac:dyDescent="0.2">
      <c r="A26" s="6">
        <v>33970</v>
      </c>
      <c r="B26">
        <f>DATOS_BRUTOS!M26-DATOS_BRUTOS!M25</f>
        <v>3.2172322488897009E-3</v>
      </c>
      <c r="C26" s="5">
        <v>7664.4970000000003</v>
      </c>
      <c r="D26">
        <v>0.75000537333333328</v>
      </c>
      <c r="E26">
        <v>2.9820395433333329</v>
      </c>
      <c r="F26">
        <v>-0.23333333333333428</v>
      </c>
      <c r="G26" s="5">
        <v>46.843500000000859</v>
      </c>
      <c r="H26">
        <v>24.114114325544065</v>
      </c>
      <c r="I26">
        <v>24673903</v>
      </c>
      <c r="J26">
        <f t="shared" si="0"/>
        <v>8.9443541661911201</v>
      </c>
      <c r="K26">
        <f t="shared" si="1"/>
        <v>1.1926144414733386E-2</v>
      </c>
    </row>
    <row r="27" spans="1:11" x14ac:dyDescent="0.2">
      <c r="A27" s="6">
        <v>34060</v>
      </c>
      <c r="B27">
        <f>DATOS_BRUTOS!M27-DATOS_BRUTOS!M26</f>
        <v>1.0438041694913025E-2</v>
      </c>
      <c r="C27" s="5">
        <v>7688.3559999999998</v>
      </c>
      <c r="D27">
        <v>0.85743359666666663</v>
      </c>
      <c r="E27">
        <v>2.7334916299999996</v>
      </c>
      <c r="F27">
        <v>-6.666666666666643E-2</v>
      </c>
      <c r="G27" s="5">
        <v>40.852249999999913</v>
      </c>
      <c r="H27">
        <v>23.870634038597299</v>
      </c>
      <c r="I27">
        <v>25085015</v>
      </c>
      <c r="J27">
        <f t="shared" si="0"/>
        <v>8.9474622555093628</v>
      </c>
      <c r="K27">
        <f t="shared" si="1"/>
        <v>3.2172322488897009E-3</v>
      </c>
    </row>
    <row r="28" spans="1:11" x14ac:dyDescent="0.2">
      <c r="A28" s="6">
        <v>34151</v>
      </c>
      <c r="B28">
        <f>DATOS_BRUTOS!M28-DATOS_BRUTOS!M27</f>
        <v>9.3720456973240829E-3</v>
      </c>
      <c r="C28" s="5">
        <v>7694.7110000000002</v>
      </c>
      <c r="D28">
        <v>0.84058137000000011</v>
      </c>
      <c r="E28">
        <v>2.5817608466666666</v>
      </c>
      <c r="F28">
        <v>-0.26666666666666661</v>
      </c>
      <c r="G28" s="5">
        <v>23.96349999999984</v>
      </c>
      <c r="H28">
        <v>23.804302567661345</v>
      </c>
      <c r="I28">
        <v>25519067</v>
      </c>
      <c r="J28">
        <f t="shared" si="0"/>
        <v>8.9482884887126026</v>
      </c>
      <c r="K28">
        <f t="shared" si="1"/>
        <v>1.0438041694913025E-2</v>
      </c>
    </row>
    <row r="29" spans="1:11" x14ac:dyDescent="0.2">
      <c r="A29" s="6">
        <v>34243</v>
      </c>
      <c r="B29">
        <f>DATOS_BRUTOS!M29-DATOS_BRUTOS!M28</f>
        <v>8.8979777975133345E-3</v>
      </c>
      <c r="C29" s="5">
        <v>7748.23</v>
      </c>
      <c r="D29">
        <v>0.7369563033333334</v>
      </c>
      <c r="E29">
        <v>2.5604183300000001</v>
      </c>
      <c r="F29">
        <v>-0.16666666666666696</v>
      </c>
      <c r="G29" s="5">
        <v>49.281500000000051</v>
      </c>
      <c r="H29">
        <v>23.808142279202677</v>
      </c>
      <c r="I29">
        <v>25648634</v>
      </c>
      <c r="J29">
        <f t="shared" si="0"/>
        <v>8.9552197091663146</v>
      </c>
      <c r="K29">
        <f t="shared" si="1"/>
        <v>9.3720456973240829E-3</v>
      </c>
    </row>
    <row r="30" spans="1:11" x14ac:dyDescent="0.2">
      <c r="A30" s="6">
        <v>34335</v>
      </c>
      <c r="B30">
        <f>DATOS_BRUTOS!M30-DATOS_BRUTOS!M29</f>
        <v>9.6568520325881479E-3</v>
      </c>
      <c r="C30" s="5">
        <v>7798.6120000000001</v>
      </c>
      <c r="D30">
        <v>0.66690804333333331</v>
      </c>
      <c r="E30">
        <v>2.7880189099999999</v>
      </c>
      <c r="F30">
        <v>-6.666666666666643E-2</v>
      </c>
      <c r="G30" s="5">
        <v>66.134750000000167</v>
      </c>
      <c r="H30">
        <v>23.752629018887827</v>
      </c>
      <c r="I30">
        <v>25833318</v>
      </c>
      <c r="J30">
        <f t="shared" si="0"/>
        <v>8.9617010481249828</v>
      </c>
      <c r="K30">
        <f t="shared" si="1"/>
        <v>8.8979777975133345E-3</v>
      </c>
    </row>
    <row r="31" spans="1:11" x14ac:dyDescent="0.2">
      <c r="A31" s="6">
        <v>34425</v>
      </c>
      <c r="B31">
        <f>DATOS_BRUTOS!M31-DATOS_BRUTOS!M30</f>
        <v>8.827608653847463E-3</v>
      </c>
      <c r="C31" s="5">
        <v>7876.4129999999996</v>
      </c>
      <c r="D31">
        <v>1.3695156333333334</v>
      </c>
      <c r="E31">
        <v>3.6257751299999996</v>
      </c>
      <c r="F31">
        <v>-0.36666666666666625</v>
      </c>
      <c r="G31" s="5">
        <v>96.921499999999469</v>
      </c>
      <c r="H31">
        <v>23.700749829584186</v>
      </c>
      <c r="I31">
        <v>26193438</v>
      </c>
      <c r="J31">
        <f t="shared" si="0"/>
        <v>8.9716278761698813</v>
      </c>
      <c r="K31">
        <f t="shared" si="1"/>
        <v>9.6568520325881479E-3</v>
      </c>
    </row>
    <row r="32" spans="1:11" x14ac:dyDescent="0.2">
      <c r="A32" s="6">
        <v>34516</v>
      </c>
      <c r="B32">
        <f>DATOS_BRUTOS!M32-DATOS_BRUTOS!M31</f>
        <v>8.9200174690802214E-3</v>
      </c>
      <c r="C32" s="5">
        <v>7922.7929999999997</v>
      </c>
      <c r="D32">
        <v>1.8357956333333334</v>
      </c>
      <c r="E32">
        <v>3.6679359833333334</v>
      </c>
      <c r="F32">
        <v>-0.20000000000000018</v>
      </c>
      <c r="G32" s="5">
        <v>86.28099999999904</v>
      </c>
      <c r="H32">
        <v>23.614151862069278</v>
      </c>
      <c r="I32">
        <v>26396106</v>
      </c>
      <c r="J32">
        <f t="shared" si="0"/>
        <v>8.9774990741566931</v>
      </c>
      <c r="K32">
        <f t="shared" si="1"/>
        <v>8.827608653847463E-3</v>
      </c>
    </row>
    <row r="33" spans="1:11" x14ac:dyDescent="0.2">
      <c r="A33" s="6">
        <v>34608</v>
      </c>
      <c r="B33">
        <f>DATOS_BRUTOS!M33-DATOS_BRUTOS!M32</f>
        <v>9.846180015413708E-3</v>
      </c>
      <c r="C33" s="5">
        <v>8036.2250000000004</v>
      </c>
      <c r="D33">
        <v>2.0286206666666664</v>
      </c>
      <c r="E33">
        <v>4.0589429633333332</v>
      </c>
      <c r="F33">
        <v>-0.36666666666666714</v>
      </c>
      <c r="G33" s="5">
        <v>127.7142500000009</v>
      </c>
      <c r="H33">
        <v>23.416162972912467</v>
      </c>
      <c r="I33">
        <v>26919130</v>
      </c>
      <c r="J33">
        <f t="shared" si="0"/>
        <v>8.9917147245473394</v>
      </c>
      <c r="K33">
        <f t="shared" si="1"/>
        <v>8.9200174690802214E-3</v>
      </c>
    </row>
    <row r="34" spans="1:11" x14ac:dyDescent="0.2">
      <c r="A34" s="6">
        <v>34700</v>
      </c>
      <c r="B34">
        <f>DATOS_BRUTOS!M34-DATOS_BRUTOS!M33</f>
        <v>1.9947357425138534E-3</v>
      </c>
      <c r="C34" s="5">
        <v>8104.0550000000003</v>
      </c>
      <c r="D34">
        <v>2.2494705333333336</v>
      </c>
      <c r="E34">
        <v>4.0067575066666663</v>
      </c>
      <c r="F34">
        <v>-0.16666666666666696</v>
      </c>
      <c r="G34" s="5">
        <v>119.183500000001</v>
      </c>
      <c r="H34">
        <v>23.275933060465036</v>
      </c>
      <c r="I34">
        <v>27480983</v>
      </c>
      <c r="J34">
        <f t="shared" si="0"/>
        <v>9.0001198326774539</v>
      </c>
      <c r="K34">
        <f t="shared" si="1"/>
        <v>9.846180015413708E-3</v>
      </c>
    </row>
    <row r="35" spans="1:11" x14ac:dyDescent="0.2">
      <c r="A35" s="6">
        <v>34790</v>
      </c>
      <c r="B35">
        <f>DATOS_BRUTOS!M35-DATOS_BRUTOS!M34</f>
        <v>1.0688925891058076E-2</v>
      </c>
      <c r="C35" s="5">
        <v>8126.5029999999997</v>
      </c>
      <c r="D35">
        <v>3.0610123000000002</v>
      </c>
      <c r="E35">
        <v>3.3267069900000004</v>
      </c>
      <c r="F35">
        <v>0.20000000000000107</v>
      </c>
      <c r="G35" s="5">
        <v>79.108999999999469</v>
      </c>
      <c r="H35">
        <v>23.140470303865882</v>
      </c>
      <c r="I35">
        <v>27888939</v>
      </c>
      <c r="J35">
        <f t="shared" si="0"/>
        <v>9.0028859747057783</v>
      </c>
      <c r="K35">
        <f t="shared" si="1"/>
        <v>1.9947357425138534E-3</v>
      </c>
    </row>
    <row r="36" spans="1:11" x14ac:dyDescent="0.2">
      <c r="A36" s="6">
        <v>34881</v>
      </c>
      <c r="B36">
        <f>DATOS_BRUTOS!M36-DATOS_BRUTOS!M35</f>
        <v>8.4712722607047652E-3</v>
      </c>
      <c r="C36" s="5">
        <v>8200.09</v>
      </c>
      <c r="D36">
        <v>2.3856303666666667</v>
      </c>
      <c r="E36">
        <v>3.0347057199999998</v>
      </c>
      <c r="F36">
        <v>0</v>
      </c>
      <c r="G36" s="5">
        <v>83.371750000000247</v>
      </c>
      <c r="H36">
        <v>23.169625246548325</v>
      </c>
      <c r="I36">
        <v>28569853</v>
      </c>
      <c r="J36">
        <f t="shared" si="0"/>
        <v>9.0119004088018695</v>
      </c>
      <c r="K36">
        <f t="shared" si="1"/>
        <v>1.0688925891058076E-2</v>
      </c>
    </row>
    <row r="37" spans="1:11" x14ac:dyDescent="0.2">
      <c r="A37" s="6">
        <v>34973</v>
      </c>
      <c r="B37">
        <f>DATOS_BRUTOS!M37-DATOS_BRUTOS!M36</f>
        <v>5.2305874280449416E-3</v>
      </c>
      <c r="C37" s="5">
        <v>8246.7209999999995</v>
      </c>
      <c r="D37">
        <v>2.636415766666667</v>
      </c>
      <c r="E37">
        <v>2.8720357566666661</v>
      </c>
      <c r="F37">
        <v>-0.10000000000000053</v>
      </c>
      <c r="G37" s="5">
        <v>77.378749999999854</v>
      </c>
      <c r="H37">
        <v>23.459390624965931</v>
      </c>
      <c r="I37">
        <v>29079181</v>
      </c>
      <c r="J37">
        <f t="shared" si="0"/>
        <v>9.0175709457772797</v>
      </c>
      <c r="K37">
        <f t="shared" si="1"/>
        <v>8.4712722607047652E-3</v>
      </c>
    </row>
    <row r="38" spans="1:11" x14ac:dyDescent="0.2">
      <c r="A38" s="6">
        <v>35065</v>
      </c>
      <c r="B38">
        <f>DATOS_BRUTOS!M38-DATOS_BRUTOS!M37</f>
        <v>1.0534785767969623E-2</v>
      </c>
      <c r="C38" s="5">
        <v>8323.4580000000005</v>
      </c>
      <c r="D38">
        <v>2.3852581000000002</v>
      </c>
      <c r="E38">
        <v>2.7142480966666667</v>
      </c>
      <c r="F38">
        <v>-3.3333333333332327E-2</v>
      </c>
      <c r="G38" s="5">
        <v>99.265000000001237</v>
      </c>
      <c r="H38">
        <v>23.558447191498594</v>
      </c>
      <c r="I38">
        <v>29531691</v>
      </c>
      <c r="J38">
        <f t="shared" si="0"/>
        <v>9.0268330724671095</v>
      </c>
      <c r="K38">
        <f t="shared" si="1"/>
        <v>5.2305874280449416E-3</v>
      </c>
    </row>
    <row r="39" spans="1:11" x14ac:dyDescent="0.2">
      <c r="A39" s="6">
        <v>35156</v>
      </c>
      <c r="B39">
        <f>DATOS_BRUTOS!M39-DATOS_BRUTOS!M38</f>
        <v>1.3469667771937921E-2</v>
      </c>
      <c r="C39" s="5">
        <v>8398.6280000000006</v>
      </c>
      <c r="D39">
        <v>2.4231885000000002</v>
      </c>
      <c r="E39">
        <v>3.302480193333333</v>
      </c>
      <c r="F39">
        <v>-3.3333333333334103E-2</v>
      </c>
      <c r="G39" s="5">
        <v>106.40375000000131</v>
      </c>
      <c r="H39">
        <v>23.638384268305526</v>
      </c>
      <c r="I39">
        <v>29817308</v>
      </c>
      <c r="J39">
        <f t="shared" si="0"/>
        <v>9.0358236381577299</v>
      </c>
      <c r="K39">
        <f t="shared" si="1"/>
        <v>1.0534785767969623E-2</v>
      </c>
    </row>
    <row r="40" spans="1:11" x14ac:dyDescent="0.2">
      <c r="A40" s="6">
        <v>35247</v>
      </c>
      <c r="B40">
        <f>DATOS_BRUTOS!M40-DATOS_BRUTOS!M39</f>
        <v>7.3906967471195628E-3</v>
      </c>
      <c r="C40" s="5">
        <v>8464.2219999999998</v>
      </c>
      <c r="D40">
        <v>2.6020171333333333</v>
      </c>
      <c r="E40">
        <v>3.4064993399999999</v>
      </c>
      <c r="F40">
        <v>-0.23333333333333339</v>
      </c>
      <c r="G40" s="5">
        <v>105.96474999999919</v>
      </c>
      <c r="H40">
        <v>23.72080136402387</v>
      </c>
      <c r="I40">
        <v>30482113</v>
      </c>
      <c r="J40">
        <f t="shared" si="0"/>
        <v>9.0436033824875732</v>
      </c>
      <c r="K40">
        <f t="shared" si="1"/>
        <v>1.3469667771937921E-2</v>
      </c>
    </row>
    <row r="41" spans="1:11" x14ac:dyDescent="0.2">
      <c r="A41" s="6">
        <v>35339</v>
      </c>
      <c r="B41">
        <f>DATOS_BRUTOS!M41-DATOS_BRUTOS!M40</f>
        <v>8.7881346975535735E-3</v>
      </c>
      <c r="C41" s="5">
        <v>8506.9519999999993</v>
      </c>
      <c r="D41">
        <v>2.3226539000000002</v>
      </c>
      <c r="E41">
        <v>3.1369771100000001</v>
      </c>
      <c r="F41">
        <v>6.666666666666643E-2</v>
      </c>
      <c r="G41" s="5">
        <v>83.636999999998807</v>
      </c>
      <c r="H41">
        <v>23.806950625132444</v>
      </c>
      <c r="I41">
        <v>30711578</v>
      </c>
      <c r="J41">
        <f t="shared" si="0"/>
        <v>9.0486389905478344</v>
      </c>
      <c r="K41">
        <f t="shared" si="1"/>
        <v>7.3906967471195628E-3</v>
      </c>
    </row>
    <row r="42" spans="1:11" x14ac:dyDescent="0.2">
      <c r="A42" s="6">
        <v>35431</v>
      </c>
      <c r="B42">
        <f>DATOS_BRUTOS!M42-DATOS_BRUTOS!M41</f>
        <v>9.5153578754842982E-3</v>
      </c>
      <c r="C42" s="5">
        <v>8584.9169999999995</v>
      </c>
      <c r="D42">
        <v>2.1772290333333335</v>
      </c>
      <c r="E42">
        <v>3.2589328300000004</v>
      </c>
      <c r="F42">
        <v>-9.9999999999999645E-2</v>
      </c>
      <c r="G42" s="5">
        <v>96.237250000000131</v>
      </c>
      <c r="H42">
        <v>23.921168232839847</v>
      </c>
      <c r="I42">
        <v>32037046</v>
      </c>
      <c r="J42">
        <f t="shared" si="0"/>
        <v>9.0577621052592132</v>
      </c>
      <c r="K42">
        <f t="shared" si="1"/>
        <v>8.7881346975535735E-3</v>
      </c>
    </row>
    <row r="43" spans="1:11" x14ac:dyDescent="0.2">
      <c r="A43" s="6">
        <v>35521</v>
      </c>
      <c r="B43">
        <f>DATOS_BRUTOS!M43-DATOS_BRUTOS!M42</f>
        <v>4.1309918029526216E-3</v>
      </c>
      <c r="C43" s="5">
        <v>8658.7209999999995</v>
      </c>
      <c r="D43">
        <v>2.6520771000000001</v>
      </c>
      <c r="E43">
        <v>3.4221876200000003</v>
      </c>
      <c r="F43">
        <v>-0.23333333333333339</v>
      </c>
      <c r="G43" s="5">
        <v>105.01800000000003</v>
      </c>
      <c r="H43">
        <v>24.101324078772347</v>
      </c>
      <c r="I43">
        <v>32992940</v>
      </c>
      <c r="J43">
        <f t="shared" si="0"/>
        <v>9.0663223001179833</v>
      </c>
      <c r="K43">
        <f t="shared" si="1"/>
        <v>9.5153578754842982E-3</v>
      </c>
    </row>
    <row r="44" spans="1:11" x14ac:dyDescent="0.2">
      <c r="A44" s="6">
        <v>35612</v>
      </c>
      <c r="B44">
        <f>DATOS_BRUTOS!M44-DATOS_BRUTOS!M43</f>
        <v>1.551880873377165E-2</v>
      </c>
      <c r="C44" s="5">
        <v>8761.0969999999998</v>
      </c>
      <c r="D44">
        <v>2.8090723333333329</v>
      </c>
      <c r="E44">
        <v>3.1464192799999999</v>
      </c>
      <c r="F44">
        <v>-0.13333333333333375</v>
      </c>
      <c r="G44" s="5">
        <v>133.17525000000023</v>
      </c>
      <c r="H44">
        <v>24.317083333333336</v>
      </c>
      <c r="I44">
        <v>33519788</v>
      </c>
      <c r="J44">
        <f t="shared" si="0"/>
        <v>9.0780764044005284</v>
      </c>
      <c r="K44">
        <f t="shared" si="1"/>
        <v>4.1309918029526216E-3</v>
      </c>
    </row>
    <row r="45" spans="1:11" x14ac:dyDescent="0.2">
      <c r="A45" s="6">
        <v>35704</v>
      </c>
      <c r="B45">
        <f>DATOS_BRUTOS!M45-DATOS_BRUTOS!M44</f>
        <v>1.1603132727618259E-2</v>
      </c>
      <c r="C45" s="5">
        <v>8890.4680000000008</v>
      </c>
      <c r="D45">
        <v>2.4449738666666669</v>
      </c>
      <c r="E45">
        <v>2.9697995366666667</v>
      </c>
      <c r="F45">
        <v>-0.19999999999999929</v>
      </c>
      <c r="G45" s="5">
        <v>166.66725000000042</v>
      </c>
      <c r="H45">
        <v>24.573797678275287</v>
      </c>
      <c r="I45">
        <v>35126826</v>
      </c>
      <c r="J45">
        <f t="shared" si="0"/>
        <v>9.0927349705419065</v>
      </c>
      <c r="K45">
        <f t="shared" si="1"/>
        <v>1.551880873377165E-2</v>
      </c>
    </row>
    <row r="46" spans="1:11" x14ac:dyDescent="0.2">
      <c r="A46" s="6">
        <v>35796</v>
      </c>
      <c r="B46">
        <f>DATOS_BRUTOS!M46-DATOS_BRUTOS!M45</f>
        <v>8.4383028995222986E-3</v>
      </c>
      <c r="C46" s="5">
        <v>9079.491</v>
      </c>
      <c r="D46">
        <v>2.6285693999999999</v>
      </c>
      <c r="E46">
        <v>2.8232941666666669</v>
      </c>
      <c r="F46">
        <v>-3.3333333333334103E-2</v>
      </c>
      <c r="G46" s="5">
        <v>232.04674999999952</v>
      </c>
      <c r="H46">
        <v>24.824691083111169</v>
      </c>
      <c r="I46">
        <v>35815091</v>
      </c>
      <c r="J46">
        <f t="shared" si="0"/>
        <v>9.1137734127553482</v>
      </c>
      <c r="K46">
        <f t="shared" si="1"/>
        <v>1.1603132727618259E-2</v>
      </c>
    </row>
    <row r="47" spans="1:11" x14ac:dyDescent="0.2">
      <c r="A47" s="6">
        <v>35886</v>
      </c>
      <c r="B47">
        <f>DATOS_BRUTOS!M47-DATOS_BRUTOS!M46</f>
        <v>1.6936342575831986E-2</v>
      </c>
      <c r="C47" s="5">
        <v>9206.7669999999998</v>
      </c>
      <c r="D47">
        <v>2.7249455666666669</v>
      </c>
      <c r="E47">
        <v>2.8700350866666668</v>
      </c>
      <c r="F47">
        <v>-0.23333333333333339</v>
      </c>
      <c r="G47" s="5">
        <v>222.31124999999884</v>
      </c>
      <c r="H47">
        <v>25.225102880658437</v>
      </c>
      <c r="I47">
        <v>35195398</v>
      </c>
      <c r="J47">
        <f t="shared" si="0"/>
        <v>9.1276940361358641</v>
      </c>
      <c r="K47">
        <f t="shared" si="1"/>
        <v>8.4383028995222986E-3</v>
      </c>
    </row>
    <row r="48" spans="1:11" x14ac:dyDescent="0.2">
      <c r="A48" s="6">
        <v>35977</v>
      </c>
      <c r="B48">
        <f>DATOS_BRUTOS!M48-DATOS_BRUTOS!M47</f>
        <v>1.251081507693641E-2</v>
      </c>
      <c r="C48" s="5">
        <v>9298.2909999999993</v>
      </c>
      <c r="D48">
        <v>2.2840989333333339</v>
      </c>
      <c r="E48">
        <v>2.6820950333333333</v>
      </c>
      <c r="F48">
        <v>0.13333333333333375</v>
      </c>
      <c r="G48" s="5">
        <v>179.5367499999993</v>
      </c>
      <c r="H48">
        <v>25.612644816744908</v>
      </c>
      <c r="I48">
        <v>37212659</v>
      </c>
      <c r="J48">
        <f t="shared" si="0"/>
        <v>9.1375858988139171</v>
      </c>
      <c r="K48">
        <f t="shared" si="1"/>
        <v>1.6936342575831986E-2</v>
      </c>
    </row>
    <row r="49" spans="1:11" x14ac:dyDescent="0.2">
      <c r="A49" s="6">
        <v>36069</v>
      </c>
      <c r="B49">
        <f>DATOS_BRUTOS!M49-DATOS_BRUTOS!M48</f>
        <v>1.4424216304931292E-2</v>
      </c>
      <c r="C49" s="5">
        <v>9367.9509999999991</v>
      </c>
      <c r="D49">
        <v>2.1671447333333336</v>
      </c>
      <c r="E49">
        <v>2.1285852533333336</v>
      </c>
      <c r="F49">
        <v>-9.9999999999999645E-2</v>
      </c>
      <c r="G49" s="5">
        <v>129.82599999999911</v>
      </c>
      <c r="H49">
        <v>25.913230130116041</v>
      </c>
      <c r="I49">
        <v>37529919</v>
      </c>
      <c r="J49">
        <f t="shared" si="0"/>
        <v>9.1450496746917125</v>
      </c>
      <c r="K49">
        <f t="shared" si="1"/>
        <v>1.251081507693641E-2</v>
      </c>
    </row>
    <row r="50" spans="1:11" x14ac:dyDescent="0.2">
      <c r="A50" s="6">
        <v>36161</v>
      </c>
      <c r="B50">
        <f>DATOS_BRUTOS!M50-DATOS_BRUTOS!M49</f>
        <v>7.808464775632018E-3</v>
      </c>
      <c r="C50" s="5">
        <v>9468.1370000000006</v>
      </c>
      <c r="D50">
        <v>2.1061057000000001</v>
      </c>
      <c r="E50">
        <v>2.4620338166666667</v>
      </c>
      <c r="F50">
        <v>-0.13333333333333375</v>
      </c>
      <c r="G50" s="5">
        <v>132.85050000000047</v>
      </c>
      <c r="H50">
        <v>26.460857962749721</v>
      </c>
      <c r="I50">
        <v>38604922</v>
      </c>
      <c r="J50">
        <f t="shared" si="0"/>
        <v>9.1556874403221755</v>
      </c>
      <c r="K50">
        <f t="shared" si="1"/>
        <v>1.4424216304931292E-2</v>
      </c>
    </row>
    <row r="51" spans="1:11" x14ac:dyDescent="0.2">
      <c r="A51" s="6">
        <v>36251</v>
      </c>
      <c r="B51">
        <f>DATOS_BRUTOS!M51-DATOS_BRUTOS!M50</f>
        <v>1.7529436954493605E-2</v>
      </c>
      <c r="C51" s="5">
        <v>9474.5400000000009</v>
      </c>
      <c r="D51">
        <v>2.7044352666666662</v>
      </c>
      <c r="E51">
        <v>2.8328636966666667</v>
      </c>
      <c r="F51">
        <v>-3.3333333333333215E-2</v>
      </c>
      <c r="G51" s="5">
        <v>72.310250000000451</v>
      </c>
      <c r="H51">
        <v>26.831296704364032</v>
      </c>
      <c r="I51">
        <v>38514112</v>
      </c>
      <c r="J51">
        <f t="shared" si="0"/>
        <v>9.1563634799594311</v>
      </c>
      <c r="K51">
        <f t="shared" si="1"/>
        <v>7.808464775632018E-3</v>
      </c>
    </row>
    <row r="52" spans="1:11" x14ac:dyDescent="0.2">
      <c r="A52" s="6">
        <v>36342</v>
      </c>
      <c r="B52">
        <f>DATOS_BRUTOS!M52-DATOS_BRUTOS!M51</f>
        <v>1.3171703285781433E-2</v>
      </c>
      <c r="C52" s="5">
        <v>9541.5439999999999</v>
      </c>
      <c r="D52">
        <v>2.6309859666666671</v>
      </c>
      <c r="E52">
        <v>3.0921901799999998</v>
      </c>
      <c r="F52">
        <v>-3.3333333333333215E-2</v>
      </c>
      <c r="G52" s="5">
        <v>78.501000000000204</v>
      </c>
      <c r="H52">
        <v>27.019829243162793</v>
      </c>
      <c r="I52">
        <v>40967074</v>
      </c>
      <c r="J52">
        <f t="shared" si="0"/>
        <v>9.1634105962105963</v>
      </c>
      <c r="K52">
        <f t="shared" si="1"/>
        <v>1.7529436954493605E-2</v>
      </c>
    </row>
    <row r="53" spans="1:11" x14ac:dyDescent="0.2">
      <c r="A53" s="6">
        <v>36434</v>
      </c>
      <c r="B53">
        <f>DATOS_BRUTOS!M53-DATOS_BRUTOS!M52</f>
        <v>1.474331349029967E-2</v>
      </c>
      <c r="C53" s="5">
        <v>9665.1470000000008</v>
      </c>
      <c r="D53">
        <v>2.0895529666666666</v>
      </c>
      <c r="E53">
        <v>3.1607929633333334</v>
      </c>
      <c r="F53">
        <v>-0.16666666666666696</v>
      </c>
      <c r="G53" s="5">
        <v>127.80500000000029</v>
      </c>
      <c r="H53">
        <v>27.220693779904309</v>
      </c>
      <c r="I53">
        <v>42053230</v>
      </c>
      <c r="J53">
        <f t="shared" si="0"/>
        <v>9.17628160104565</v>
      </c>
      <c r="K53">
        <f t="shared" si="1"/>
        <v>1.3171703285781433E-2</v>
      </c>
    </row>
    <row r="54" spans="1:11" x14ac:dyDescent="0.2">
      <c r="A54" s="6">
        <v>36526</v>
      </c>
      <c r="B54">
        <f>DATOS_BRUTOS!M54-DATOS_BRUTOS!M53</f>
        <v>1.730979566862878E-2</v>
      </c>
      <c r="C54" s="5">
        <v>9833.8719999999994</v>
      </c>
      <c r="D54">
        <v>2.6508100999999997</v>
      </c>
      <c r="E54">
        <v>3.4549139566666671</v>
      </c>
      <c r="F54">
        <v>-3.3333333333333215E-2</v>
      </c>
      <c r="G54" s="5">
        <v>205.09624999999869</v>
      </c>
      <c r="H54">
        <v>27.389723708141119</v>
      </c>
      <c r="I54">
        <v>42051458</v>
      </c>
      <c r="J54">
        <f t="shared" si="0"/>
        <v>9.1935880318204681</v>
      </c>
      <c r="K54">
        <f t="shared" si="1"/>
        <v>1.474331349029967E-2</v>
      </c>
    </row>
    <row r="55" spans="1:11" x14ac:dyDescent="0.2">
      <c r="A55" s="6">
        <v>36617</v>
      </c>
      <c r="B55">
        <f>DATOS_BRUTOS!M55-DATOS_BRUTOS!M54</f>
        <v>7.4186900432220426E-3</v>
      </c>
      <c r="C55" s="5">
        <v>9950.19</v>
      </c>
      <c r="D55">
        <v>2.5543155333333334</v>
      </c>
      <c r="E55">
        <v>3.2304635499999996</v>
      </c>
      <c r="F55">
        <v>-9.9999999999999645E-2</v>
      </c>
      <c r="G55" s="5">
        <v>202.50175000000127</v>
      </c>
      <c r="H55">
        <v>27.544189692337845</v>
      </c>
      <c r="I55">
        <v>42603842</v>
      </c>
      <c r="J55">
        <f t="shared" si="0"/>
        <v>9.2053469254477083</v>
      </c>
      <c r="K55">
        <f t="shared" si="1"/>
        <v>1.730979566862878E-2</v>
      </c>
    </row>
    <row r="56" spans="1:11" x14ac:dyDescent="0.2">
      <c r="A56" s="6">
        <v>36708</v>
      </c>
      <c r="B56">
        <f>DATOS_BRUTOS!M56-DATOS_BRUTOS!M55</f>
        <v>1.01374109201533E-2</v>
      </c>
      <c r="C56" s="5">
        <v>10081.460999999999</v>
      </c>
      <c r="D56">
        <v>3.1986584333333332</v>
      </c>
      <c r="E56">
        <v>2.9979881033333329</v>
      </c>
      <c r="F56">
        <v>6.666666666666643E-2</v>
      </c>
      <c r="G56" s="5">
        <v>198.79349999999977</v>
      </c>
      <c r="H56">
        <v>27.788893231369304</v>
      </c>
      <c r="I56">
        <v>42044639</v>
      </c>
      <c r="J56">
        <f t="shared" si="0"/>
        <v>9.2184534715986945</v>
      </c>
      <c r="K56">
        <f t="shared" si="1"/>
        <v>7.4186900432220426E-3</v>
      </c>
    </row>
    <row r="57" spans="1:11" x14ac:dyDescent="0.2">
      <c r="A57" s="6">
        <v>36800</v>
      </c>
      <c r="B57">
        <f>DATOS_BRUTOS!M57-DATOS_BRUTOS!M56</f>
        <v>8.9737861190641866E-3</v>
      </c>
      <c r="C57" s="5">
        <v>10148.995000000001</v>
      </c>
      <c r="D57">
        <v>2.7072289999999999</v>
      </c>
      <c r="E57">
        <v>2.7829913133333335</v>
      </c>
      <c r="F57">
        <v>-0.10000000000000009</v>
      </c>
      <c r="G57" s="5">
        <v>145.3655000000017</v>
      </c>
      <c r="H57">
        <v>27.861464354527936</v>
      </c>
      <c r="I57">
        <v>41881866</v>
      </c>
      <c r="J57">
        <f t="shared" si="0"/>
        <v>9.2251299647893212</v>
      </c>
      <c r="K57">
        <f t="shared" si="1"/>
        <v>1.01374109201533E-2</v>
      </c>
    </row>
    <row r="58" spans="1:11" x14ac:dyDescent="0.2">
      <c r="A58" s="6">
        <v>36892</v>
      </c>
      <c r="B58">
        <f>DATOS_BRUTOS!M58-DATOS_BRUTOS!M57</f>
        <v>4.2298109016414287E-3</v>
      </c>
      <c r="C58" s="5">
        <v>10229.861999999999</v>
      </c>
      <c r="D58">
        <v>3.1923715333333331</v>
      </c>
      <c r="E58">
        <v>2.2619138833333334</v>
      </c>
      <c r="F58">
        <v>0.33333333333333348</v>
      </c>
      <c r="G58" s="5">
        <v>127.23499999999876</v>
      </c>
      <c r="H58">
        <v>28.074474984646994</v>
      </c>
      <c r="I58">
        <v>43130437</v>
      </c>
      <c r="J58">
        <f t="shared" si="0"/>
        <v>9.2330663691186139</v>
      </c>
      <c r="K58">
        <f t="shared" si="1"/>
        <v>8.9737861190641866E-3</v>
      </c>
    </row>
    <row r="59" spans="1:11" x14ac:dyDescent="0.2">
      <c r="A59" s="6">
        <v>36982</v>
      </c>
      <c r="B59">
        <f>DATOS_BRUTOS!M59-DATOS_BRUTOS!M58</f>
        <v>2.1958585455905677E-4</v>
      </c>
      <c r="C59" s="5">
        <v>10221.913</v>
      </c>
      <c r="D59">
        <v>1.9021318666666669</v>
      </c>
      <c r="E59">
        <v>2.3936192999999997</v>
      </c>
      <c r="F59">
        <v>0.16666666666666607</v>
      </c>
      <c r="G59" s="5">
        <v>51.355250000000524</v>
      </c>
      <c r="H59">
        <v>28.542353610005687</v>
      </c>
      <c r="I59">
        <v>42111097</v>
      </c>
      <c r="J59">
        <f t="shared" si="0"/>
        <v>9.2322890282374175</v>
      </c>
      <c r="K59">
        <f t="shared" si="1"/>
        <v>4.2298109016414287E-3</v>
      </c>
    </row>
    <row r="60" spans="1:11" x14ac:dyDescent="0.2">
      <c r="A60" s="6">
        <v>37073</v>
      </c>
      <c r="B60">
        <f>DATOS_BRUTOS!M60-DATOS_BRUTOS!M59</f>
        <v>4.9345739737383099E-4</v>
      </c>
      <c r="C60" s="5">
        <v>10455.450999999999</v>
      </c>
      <c r="D60">
        <v>1.1794149500000002</v>
      </c>
      <c r="E60">
        <v>2.3468322766666669</v>
      </c>
      <c r="F60">
        <v>0.43333333333333357</v>
      </c>
      <c r="G60" s="5">
        <v>191.39574999999968</v>
      </c>
      <c r="H60">
        <v>29.059896612526558</v>
      </c>
      <c r="I60">
        <v>43628941</v>
      </c>
      <c r="J60">
        <f t="shared" si="0"/>
        <v>9.2548787481872505</v>
      </c>
      <c r="K60">
        <f t="shared" si="1"/>
        <v>2.1958585455905677E-4</v>
      </c>
    </row>
    <row r="61" spans="1:11" x14ac:dyDescent="0.2">
      <c r="A61" s="6">
        <v>37165</v>
      </c>
      <c r="B61">
        <f>DATOS_BRUTOS!M61-DATOS_BRUTOS!M60</f>
        <v>1.3184051299040433E-2</v>
      </c>
      <c r="C61" s="5">
        <v>10282.075000000001</v>
      </c>
      <c r="D61">
        <v>0.62769967666666671</v>
      </c>
      <c r="E61">
        <v>1.9474247599999999</v>
      </c>
      <c r="F61">
        <v>0.66666666666666696</v>
      </c>
      <c r="G61" s="5">
        <v>-15.25025000000096</v>
      </c>
      <c r="H61">
        <v>29.628503712711037</v>
      </c>
      <c r="I61">
        <v>44265754</v>
      </c>
      <c r="J61">
        <f t="shared" si="0"/>
        <v>9.2381573668895669</v>
      </c>
      <c r="K61">
        <f t="shared" si="1"/>
        <v>4.9345739737383099E-4</v>
      </c>
    </row>
    <row r="62" spans="1:11" x14ac:dyDescent="0.2">
      <c r="A62" s="6">
        <v>37257</v>
      </c>
      <c r="B62">
        <f>DATOS_BRUTOS!M62-DATOS_BRUTOS!M61</f>
        <v>8.8275478481669722E-4</v>
      </c>
      <c r="C62" s="5">
        <v>10528.392</v>
      </c>
      <c r="D62">
        <v>0.90776110666666676</v>
      </c>
      <c r="E62">
        <v>2.4482878566666666</v>
      </c>
      <c r="F62">
        <v>0.20000000000000018</v>
      </c>
      <c r="G62" s="5">
        <v>156.43424999999843</v>
      </c>
      <c r="H62">
        <v>30.331830985915492</v>
      </c>
      <c r="I62">
        <v>43696402</v>
      </c>
      <c r="J62">
        <f t="shared" si="0"/>
        <v>9.2618308869144812</v>
      </c>
      <c r="K62">
        <f t="shared" si="1"/>
        <v>1.3184051299040433E-2</v>
      </c>
    </row>
    <row r="63" spans="1:11" x14ac:dyDescent="0.2">
      <c r="A63" s="6">
        <v>37347</v>
      </c>
      <c r="B63">
        <f>DATOS_BRUTOS!M63-DATOS_BRUTOS!M62</f>
        <v>9.0934485369231766E-3</v>
      </c>
      <c r="C63" s="5">
        <v>10612.984</v>
      </c>
      <c r="D63">
        <v>0.36150418666666667</v>
      </c>
      <c r="E63">
        <v>2.4571800533333334</v>
      </c>
      <c r="F63">
        <v>0.13333333333333286</v>
      </c>
      <c r="G63" s="5">
        <v>143.25849999999991</v>
      </c>
      <c r="H63">
        <v>30.761267762508865</v>
      </c>
      <c r="I63">
        <v>42596108</v>
      </c>
      <c r="J63">
        <f t="shared" si="0"/>
        <v>9.2698334361756487</v>
      </c>
      <c r="K63">
        <f t="shared" si="1"/>
        <v>8.8275478481669722E-4</v>
      </c>
    </row>
    <row r="64" spans="1:11" x14ac:dyDescent="0.2">
      <c r="A64" s="6">
        <v>37438</v>
      </c>
      <c r="B64">
        <f>DATOS_BRUTOS!M64-DATOS_BRUTOS!M63</f>
        <v>7.0330667204245856E-3</v>
      </c>
      <c r="C64" s="5">
        <v>10625.868</v>
      </c>
      <c r="D64">
        <v>0.14081936666666667</v>
      </c>
      <c r="E64">
        <v>1.7767664633333331</v>
      </c>
      <c r="F64">
        <v>-9.9999999999999645E-2</v>
      </c>
      <c r="G64" s="5">
        <v>113.53824999999961</v>
      </c>
      <c r="H64">
        <v>30.764058759177637</v>
      </c>
      <c r="I64">
        <v>43454714</v>
      </c>
      <c r="J64">
        <f t="shared" si="0"/>
        <v>9.2710466845734825</v>
      </c>
      <c r="K64">
        <f t="shared" si="1"/>
        <v>9.0934485369231766E-3</v>
      </c>
    </row>
    <row r="65" spans="1:11" x14ac:dyDescent="0.2">
      <c r="A65" s="6">
        <v>37530</v>
      </c>
      <c r="B65">
        <f>DATOS_BRUTOS!M65-DATOS_BRUTOS!M64</f>
        <v>5.6830336422102334E-3</v>
      </c>
      <c r="C65" s="5">
        <v>10690.885</v>
      </c>
      <c r="D65">
        <v>-0.17994168666666666</v>
      </c>
      <c r="E65">
        <v>1.4521787033333335</v>
      </c>
      <c r="F65">
        <v>0.13333333333333375</v>
      </c>
      <c r="G65" s="5">
        <v>76.352750000000015</v>
      </c>
      <c r="H65">
        <v>31.178147382500246</v>
      </c>
      <c r="I65">
        <v>43637690</v>
      </c>
      <c r="J65">
        <f t="shared" si="0"/>
        <v>9.2771467882443943</v>
      </c>
      <c r="K65">
        <f t="shared" si="1"/>
        <v>7.0330667204245856E-3</v>
      </c>
    </row>
    <row r="66" spans="1:11" x14ac:dyDescent="0.2">
      <c r="A66" s="6">
        <v>37622</v>
      </c>
      <c r="B66">
        <f>DATOS_BRUTOS!M66-DATOS_BRUTOS!M65</f>
        <v>6.7307976351624887E-3</v>
      </c>
      <c r="C66" s="5">
        <v>10693.57</v>
      </c>
      <c r="D66">
        <v>-0.18404371</v>
      </c>
      <c r="E66">
        <v>1.3927238966666666</v>
      </c>
      <c r="F66">
        <v>0</v>
      </c>
      <c r="G66" s="5">
        <v>37.743249999999534</v>
      </c>
      <c r="H66">
        <v>31.630853994490359</v>
      </c>
      <c r="I66">
        <v>45458839</v>
      </c>
      <c r="J66">
        <f t="shared" si="0"/>
        <v>9.2773979052370041</v>
      </c>
      <c r="K66">
        <f t="shared" si="1"/>
        <v>5.6830336422102334E-3</v>
      </c>
    </row>
    <row r="67" spans="1:11" x14ac:dyDescent="0.2">
      <c r="A67" s="6">
        <v>37712</v>
      </c>
      <c r="B67">
        <f>DATOS_BRUTOS!M67-DATOS_BRUTOS!M66</f>
        <v>8.8172304528679746E-3</v>
      </c>
      <c r="C67" s="5">
        <v>10815.094999999999</v>
      </c>
      <c r="D67">
        <v>-0.41644626333333329</v>
      </c>
      <c r="E67">
        <v>1.1951517299999999</v>
      </c>
      <c r="F67">
        <v>0.26666666666666572</v>
      </c>
      <c r="G67" s="5">
        <v>108.74049999999988</v>
      </c>
      <c r="H67">
        <v>31.824519497328673</v>
      </c>
      <c r="I67">
        <v>46345730</v>
      </c>
      <c r="J67">
        <f t="shared" ref="J67:J130" si="2">LN(C67)</f>
        <v>9.2886981224447425</v>
      </c>
      <c r="K67">
        <f t="shared" si="1"/>
        <v>6.7307976351624887E-3</v>
      </c>
    </row>
    <row r="68" spans="1:11" x14ac:dyDescent="0.2">
      <c r="A68" s="6">
        <v>37803</v>
      </c>
      <c r="B68">
        <f>DATOS_BRUTOS!M68-DATOS_BRUTOS!M67</f>
        <v>1.5017005716631004E-2</v>
      </c>
      <c r="C68" s="5">
        <v>10999.396000000001</v>
      </c>
      <c r="D68">
        <v>2.0259066666666666E-2</v>
      </c>
      <c r="E68">
        <v>1.59254389</v>
      </c>
      <c r="F68">
        <v>0</v>
      </c>
      <c r="G68" s="5">
        <v>199.65949999999975</v>
      </c>
      <c r="H68">
        <v>32.509227040737365</v>
      </c>
      <c r="I68">
        <v>48161413</v>
      </c>
      <c r="J68">
        <f t="shared" si="2"/>
        <v>9.3055956411820393</v>
      </c>
      <c r="K68">
        <f t="shared" ref="K68:K131" si="3">B67</f>
        <v>8.8172304528679746E-3</v>
      </c>
    </row>
    <row r="69" spans="1:11" x14ac:dyDescent="0.2">
      <c r="A69" s="6">
        <v>37895</v>
      </c>
      <c r="B69">
        <f>DATOS_BRUTOS!M69-DATOS_BRUTOS!M68</f>
        <v>5.6056315275885282E-3</v>
      </c>
      <c r="C69" s="5">
        <v>11029.28</v>
      </c>
      <c r="D69">
        <v>-0.32072253333333334</v>
      </c>
      <c r="E69">
        <v>1.6027645566666664</v>
      </c>
      <c r="F69">
        <v>-0.29999999999999982</v>
      </c>
      <c r="G69" s="5">
        <v>144.94475000000057</v>
      </c>
      <c r="H69">
        <v>32.923066913187988</v>
      </c>
      <c r="I69">
        <v>50553278</v>
      </c>
      <c r="J69">
        <f t="shared" si="2"/>
        <v>9.3083088335983586</v>
      </c>
      <c r="K69">
        <f t="shared" si="3"/>
        <v>1.5017005716631004E-2</v>
      </c>
    </row>
    <row r="70" spans="1:11" x14ac:dyDescent="0.2">
      <c r="A70" s="6">
        <v>37987</v>
      </c>
      <c r="B70">
        <f>DATOS_BRUTOS!M70-DATOS_BRUTOS!M69</f>
        <v>1.0104870588282466E-2</v>
      </c>
      <c r="C70" s="5">
        <v>11079.226000000001</v>
      </c>
      <c r="D70">
        <v>-0.20112585999999999</v>
      </c>
      <c r="E70">
        <v>1.5812332533333333</v>
      </c>
      <c r="F70">
        <v>-0.13333333333333286</v>
      </c>
      <c r="G70" s="5">
        <v>98.476749999999811</v>
      </c>
      <c r="H70">
        <v>32.769234370245535</v>
      </c>
      <c r="I70">
        <v>51334047</v>
      </c>
      <c r="J70">
        <f t="shared" si="2"/>
        <v>9.312827102265592</v>
      </c>
      <c r="K70">
        <f t="shared" si="3"/>
        <v>5.6056315275885282E-3</v>
      </c>
    </row>
    <row r="71" spans="1:11" x14ac:dyDescent="0.2">
      <c r="A71" s="6">
        <v>38078</v>
      </c>
      <c r="B71">
        <f>DATOS_BRUTOS!M71-DATOS_BRUTOS!M70</f>
        <v>4.7522886911384177E-3</v>
      </c>
      <c r="C71" s="5">
        <v>11192.715</v>
      </c>
      <c r="D71">
        <v>-0.63716278000000004</v>
      </c>
      <c r="E71">
        <v>1.7293235599999999</v>
      </c>
      <c r="F71">
        <v>-0.10000000000000142</v>
      </c>
      <c r="G71" s="5">
        <v>117.56075000000055</v>
      </c>
      <c r="H71">
        <v>32.743974290305303</v>
      </c>
      <c r="I71">
        <v>52467565</v>
      </c>
      <c r="J71">
        <f t="shared" si="2"/>
        <v>9.3230183992225619</v>
      </c>
      <c r="K71">
        <f t="shared" si="3"/>
        <v>1.0104870588282466E-2</v>
      </c>
    </row>
    <row r="72" spans="1:11" x14ac:dyDescent="0.2">
      <c r="A72" s="6">
        <v>38169</v>
      </c>
      <c r="B72">
        <f>DATOS_BRUTOS!M72-DATOS_BRUTOS!M71</f>
        <v>9.441229885171154E-3</v>
      </c>
      <c r="C72" s="5">
        <v>11264.886</v>
      </c>
      <c r="D72">
        <v>-0.75682138333333338</v>
      </c>
      <c r="E72">
        <v>1.7580976500000001</v>
      </c>
      <c r="F72">
        <v>-0.16666666666666519</v>
      </c>
      <c r="G72" s="5">
        <v>123.35924999999952</v>
      </c>
      <c r="H72">
        <v>33.179392064850198</v>
      </c>
      <c r="I72">
        <v>54631119</v>
      </c>
      <c r="J72">
        <f t="shared" si="2"/>
        <v>9.3294457329749267</v>
      </c>
      <c r="K72">
        <f t="shared" si="3"/>
        <v>4.7522886911384177E-3</v>
      </c>
    </row>
    <row r="73" spans="1:11" x14ac:dyDescent="0.2">
      <c r="A73" s="6">
        <v>38261</v>
      </c>
      <c r="B73">
        <f>DATOS_BRUTOS!M73-DATOS_BRUTOS!M72</f>
        <v>1.1635172588713161E-2</v>
      </c>
      <c r="C73" s="5">
        <v>11396.02</v>
      </c>
      <c r="D73">
        <v>0.30751094666666667</v>
      </c>
      <c r="E73">
        <v>1.7347772266666668</v>
      </c>
      <c r="F73">
        <v>0</v>
      </c>
      <c r="G73" s="5">
        <v>162.80825000000186</v>
      </c>
      <c r="H73">
        <v>33.33949420965638</v>
      </c>
      <c r="I73">
        <v>55470378</v>
      </c>
      <c r="J73">
        <f t="shared" si="2"/>
        <v>9.3410194506180133</v>
      </c>
      <c r="K73">
        <f t="shared" si="3"/>
        <v>9.441229885171154E-3</v>
      </c>
    </row>
    <row r="74" spans="1:11" x14ac:dyDescent="0.2">
      <c r="A74" s="6">
        <v>38353</v>
      </c>
      <c r="B74">
        <f>DATOS_BRUTOS!M74-DATOS_BRUTOS!M73</f>
        <v>5.0801520019412294E-3</v>
      </c>
      <c r="C74" s="5">
        <v>11241.419</v>
      </c>
      <c r="D74">
        <v>0.48485206333333331</v>
      </c>
      <c r="E74">
        <v>1.85725871</v>
      </c>
      <c r="F74">
        <v>-0.13333333333333375</v>
      </c>
      <c r="G74" s="5">
        <v>-32.341000000000349</v>
      </c>
      <c r="H74">
        <v>33.422849181469871</v>
      </c>
      <c r="I74">
        <v>56935557</v>
      </c>
      <c r="J74">
        <f t="shared" si="2"/>
        <v>9.3273603610309852</v>
      </c>
      <c r="K74">
        <f t="shared" si="3"/>
        <v>1.1635172588713161E-2</v>
      </c>
    </row>
    <row r="75" spans="1:11" x14ac:dyDescent="0.2">
      <c r="A75" s="6">
        <v>38443</v>
      </c>
      <c r="B75">
        <f>DATOS_BRUTOS!M75-DATOS_BRUTOS!M74</f>
        <v>9.3817675683389723E-3</v>
      </c>
      <c r="C75" s="5">
        <v>11344.156000000001</v>
      </c>
      <c r="D75">
        <v>0.65849409333333331</v>
      </c>
      <c r="E75">
        <v>1.8257602099999997</v>
      </c>
      <c r="F75">
        <v>-0.19999999999999929</v>
      </c>
      <c r="G75" s="5">
        <v>32.535749999999098</v>
      </c>
      <c r="H75">
        <v>33.441633266967138</v>
      </c>
      <c r="I75">
        <v>58515982</v>
      </c>
      <c r="J75">
        <f t="shared" si="2"/>
        <v>9.3364580004404001</v>
      </c>
      <c r="K75">
        <f t="shared" si="3"/>
        <v>5.0801520019412294E-3</v>
      </c>
    </row>
    <row r="76" spans="1:11" x14ac:dyDescent="0.2">
      <c r="A76" s="6">
        <v>38534</v>
      </c>
      <c r="B76">
        <f>DATOS_BRUTOS!M76-DATOS_BRUTOS!M75</f>
        <v>1.077494292893455E-2</v>
      </c>
      <c r="C76" s="5">
        <v>11386.022000000001</v>
      </c>
      <c r="D76">
        <v>1.4459490333333331</v>
      </c>
      <c r="E76">
        <v>1.8546426733333334</v>
      </c>
      <c r="F76">
        <v>-0.13333333333333375</v>
      </c>
      <c r="G76" s="5">
        <v>44.117750000001251</v>
      </c>
      <c r="H76">
        <v>33.450889069037743</v>
      </c>
      <c r="I76">
        <v>59843789</v>
      </c>
      <c r="J76">
        <f t="shared" si="2"/>
        <v>9.3401417417065957</v>
      </c>
      <c r="K76">
        <f t="shared" si="3"/>
        <v>9.3817675683389723E-3</v>
      </c>
    </row>
    <row r="77" spans="1:11" x14ac:dyDescent="0.2">
      <c r="A77" s="6">
        <v>38626</v>
      </c>
      <c r="B77">
        <f>DATOS_BRUTOS!M77-DATOS_BRUTOS!M76</f>
        <v>1.0854420226955597E-3</v>
      </c>
      <c r="C77" s="5">
        <v>11487.984</v>
      </c>
      <c r="D77">
        <v>1.10665087</v>
      </c>
      <c r="E77">
        <v>2.0203603733333337</v>
      </c>
      <c r="F77">
        <v>0</v>
      </c>
      <c r="G77" s="5">
        <v>123.08874999999898</v>
      </c>
      <c r="H77">
        <v>33.421329264157343</v>
      </c>
      <c r="I77">
        <v>61654272</v>
      </c>
      <c r="J77">
        <f t="shared" si="2"/>
        <v>9.3490568985293763</v>
      </c>
      <c r="K77">
        <f t="shared" si="3"/>
        <v>1.077494292893455E-2</v>
      </c>
    </row>
    <row r="78" spans="1:11" x14ac:dyDescent="0.2">
      <c r="A78" s="6">
        <v>38718</v>
      </c>
      <c r="B78">
        <f>DATOS_BRUTOS!M78-DATOS_BRUTOS!M77</f>
        <v>8.889858052793187E-3</v>
      </c>
      <c r="C78" s="5">
        <v>11700.733</v>
      </c>
      <c r="D78">
        <v>2.4630775333333332</v>
      </c>
      <c r="E78">
        <v>2.2176251266666669</v>
      </c>
      <c r="F78">
        <v>-0.23333333333333339</v>
      </c>
      <c r="G78" s="5">
        <v>221.00925000000097</v>
      </c>
      <c r="H78">
        <v>33.555406610795586</v>
      </c>
      <c r="I78">
        <v>61807282</v>
      </c>
      <c r="J78">
        <f t="shared" si="2"/>
        <v>9.3674067683960942</v>
      </c>
      <c r="K78">
        <f t="shared" si="3"/>
        <v>1.0854420226955597E-3</v>
      </c>
    </row>
    <row r="79" spans="1:11" x14ac:dyDescent="0.2">
      <c r="A79" s="6">
        <v>38808</v>
      </c>
      <c r="B79">
        <f>DATOS_BRUTOS!M79-DATOS_BRUTOS!M78</f>
        <v>5.5692625923509098E-3</v>
      </c>
      <c r="C79" s="5">
        <v>11744.34</v>
      </c>
      <c r="D79">
        <v>2.2568493000000003</v>
      </c>
      <c r="E79">
        <v>2.405191013333333</v>
      </c>
      <c r="F79">
        <v>-9.9999999999999645E-2</v>
      </c>
      <c r="G79" s="5">
        <v>164.57025000000067</v>
      </c>
      <c r="H79">
        <v>33.816454183732986</v>
      </c>
      <c r="I79">
        <v>62813573</v>
      </c>
      <c r="J79">
        <f t="shared" si="2"/>
        <v>9.3711267013889046</v>
      </c>
      <c r="K79">
        <f t="shared" si="3"/>
        <v>8.889858052793187E-3</v>
      </c>
    </row>
    <row r="80" spans="1:11" x14ac:dyDescent="0.2">
      <c r="A80" s="6">
        <v>38899</v>
      </c>
      <c r="B80">
        <f>DATOS_BRUTOS!M80-DATOS_BRUTOS!M79</f>
        <v>5.9594099807060985E-3</v>
      </c>
      <c r="C80" s="5">
        <v>11761.357</v>
      </c>
      <c r="D80">
        <v>2.3625412666666663</v>
      </c>
      <c r="E80">
        <v>2.3335642733333333</v>
      </c>
      <c r="F80">
        <v>0</v>
      </c>
      <c r="G80" s="5">
        <v>87.753499999998894</v>
      </c>
      <c r="H80">
        <v>33.871921378069928</v>
      </c>
      <c r="I80">
        <v>64177187</v>
      </c>
      <c r="J80">
        <f t="shared" si="2"/>
        <v>9.3725746059520336</v>
      </c>
      <c r="K80">
        <f t="shared" si="3"/>
        <v>5.5692625923509098E-3</v>
      </c>
    </row>
    <row r="81" spans="1:11" x14ac:dyDescent="0.2">
      <c r="A81" s="6">
        <v>38991</v>
      </c>
      <c r="B81">
        <f>DATOS_BRUTOS!M81-DATOS_BRUTOS!M80</f>
        <v>4.0968016247919792E-3</v>
      </c>
      <c r="C81" s="5">
        <v>11904.732</v>
      </c>
      <c r="D81">
        <v>3.2088561666666671</v>
      </c>
      <c r="E81">
        <v>2.1780284166666664</v>
      </c>
      <c r="F81">
        <v>-0.20000000000000018</v>
      </c>
      <c r="G81" s="5">
        <v>126.94150000000081</v>
      </c>
      <c r="H81">
        <v>34.040305102042488</v>
      </c>
      <c r="I81">
        <v>65040005</v>
      </c>
      <c r="J81">
        <f t="shared" si="2"/>
        <v>9.3846912471178054</v>
      </c>
      <c r="K81">
        <f t="shared" si="3"/>
        <v>5.9594099807060985E-3</v>
      </c>
    </row>
    <row r="82" spans="1:11" x14ac:dyDescent="0.2">
      <c r="A82" s="6">
        <v>39083</v>
      </c>
      <c r="B82">
        <f>DATOS_BRUTOS!M82-DATOS_BRUTOS!M81</f>
        <v>5.9800332901769337E-3</v>
      </c>
      <c r="C82" s="5">
        <v>11995.959000000001</v>
      </c>
      <c r="D82">
        <v>2.2860480333333335</v>
      </c>
      <c r="E82">
        <v>2.1534043666666665</v>
      </c>
      <c r="F82">
        <v>6.666666666666643E-2</v>
      </c>
      <c r="G82" s="5">
        <v>144.36199999999917</v>
      </c>
      <c r="H82">
        <v>34.750139621317338</v>
      </c>
      <c r="I82">
        <v>65652983</v>
      </c>
      <c r="J82">
        <f t="shared" si="2"/>
        <v>9.3923251220571231</v>
      </c>
      <c r="K82">
        <f t="shared" si="3"/>
        <v>4.0968016247919792E-3</v>
      </c>
    </row>
    <row r="83" spans="1:11" x14ac:dyDescent="0.2">
      <c r="A83" s="6">
        <v>39173</v>
      </c>
      <c r="B83">
        <f>DATOS_BRUTOS!M83-DATOS_BRUTOS!M82</f>
        <v>4.6119937930999555E-3</v>
      </c>
      <c r="C83" s="5">
        <v>12055.316000000001</v>
      </c>
      <c r="D83">
        <v>1.5338886333333333</v>
      </c>
      <c r="E83">
        <v>2.1185469266666668</v>
      </c>
      <c r="F83">
        <v>0</v>
      </c>
      <c r="G83" s="5">
        <v>125.97500000000036</v>
      </c>
      <c r="H83">
        <v>34.903279381222966</v>
      </c>
      <c r="I83">
        <v>66418332</v>
      </c>
      <c r="J83">
        <f t="shared" si="2"/>
        <v>9.39726100346126</v>
      </c>
      <c r="K83">
        <f t="shared" si="3"/>
        <v>5.9800332901769337E-3</v>
      </c>
    </row>
    <row r="84" spans="1:11" x14ac:dyDescent="0.2">
      <c r="A84" s="6">
        <v>39264</v>
      </c>
      <c r="B84">
        <f>DATOS_BRUTOS!M84-DATOS_BRUTOS!M83</f>
        <v>7.2307202308863339E-3</v>
      </c>
      <c r="C84" s="5">
        <v>12075.627</v>
      </c>
      <c r="D84">
        <v>1.9481731333333334</v>
      </c>
      <c r="E84">
        <v>2.1512255900000001</v>
      </c>
      <c r="F84">
        <v>0.16666666666666696</v>
      </c>
      <c r="G84" s="5">
        <v>67.718500000000859</v>
      </c>
      <c r="H84">
        <v>35.095250309327582</v>
      </c>
      <c r="I84">
        <v>65657648</v>
      </c>
      <c r="J84">
        <f t="shared" si="2"/>
        <v>9.3989444026385325</v>
      </c>
      <c r="K84">
        <f t="shared" si="3"/>
        <v>4.6119937930999555E-3</v>
      </c>
    </row>
    <row r="85" spans="1:11" x14ac:dyDescent="0.2">
      <c r="A85" s="6">
        <v>39356</v>
      </c>
      <c r="B85">
        <f>DATOS_BRUTOS!M85-DATOS_BRUTOS!M84</f>
        <v>9.2300767399979833E-3</v>
      </c>
      <c r="C85" s="5">
        <v>12090.325999999999</v>
      </c>
      <c r="D85">
        <v>1.7983753666666666</v>
      </c>
      <c r="E85">
        <v>1.73411005</v>
      </c>
      <c r="F85">
        <v>0.13333333333333286</v>
      </c>
      <c r="G85" s="5">
        <v>36.018999999998414</v>
      </c>
      <c r="H85">
        <v>35.422728139823064</v>
      </c>
      <c r="I85">
        <v>63739429</v>
      </c>
      <c r="J85">
        <f t="shared" si="2"/>
        <v>9.4001609076787211</v>
      </c>
      <c r="K85">
        <f t="shared" si="3"/>
        <v>7.2307202308863339E-3</v>
      </c>
    </row>
    <row r="86" spans="1:11" x14ac:dyDescent="0.2">
      <c r="A86" s="6">
        <v>39448</v>
      </c>
      <c r="B86">
        <f>DATOS_BRUTOS!M86-DATOS_BRUTOS!M85</f>
        <v>3.1033317075905842E-3</v>
      </c>
      <c r="C86" s="5">
        <v>12141.632</v>
      </c>
      <c r="D86">
        <v>0.68387997</v>
      </c>
      <c r="E86">
        <v>1.1786112066666667</v>
      </c>
      <c r="F86">
        <v>0.20000000000000018</v>
      </c>
      <c r="G86" s="5">
        <v>50.906750000000102</v>
      </c>
      <c r="H86">
        <v>35.362883430725127</v>
      </c>
      <c r="I86">
        <v>62715259</v>
      </c>
      <c r="J86">
        <f t="shared" si="2"/>
        <v>9.4043954872093387</v>
      </c>
      <c r="K86">
        <f t="shared" si="3"/>
        <v>9.2300767399979833E-3</v>
      </c>
    </row>
    <row r="87" spans="1:11" x14ac:dyDescent="0.2">
      <c r="A87" s="6">
        <v>39539</v>
      </c>
      <c r="B87">
        <f>DATOS_BRUTOS!M87-DATOS_BRUTOS!M86</f>
        <v>7.406133910675905E-3</v>
      </c>
      <c r="C87" s="5">
        <v>12391.597</v>
      </c>
      <c r="D87">
        <v>-0.22560473</v>
      </c>
      <c r="E87">
        <v>1.3169881733333335</v>
      </c>
      <c r="F87">
        <v>0.33333333333333304</v>
      </c>
      <c r="G87" s="5">
        <v>216.80149999999958</v>
      </c>
      <c r="H87">
        <v>35.644592752737701</v>
      </c>
      <c r="I87">
        <v>60402938</v>
      </c>
      <c r="J87">
        <f t="shared" si="2"/>
        <v>9.4247738605866083</v>
      </c>
      <c r="K87">
        <f t="shared" si="3"/>
        <v>3.1033317075905842E-3</v>
      </c>
    </row>
    <row r="88" spans="1:11" x14ac:dyDescent="0.2">
      <c r="A88" s="6">
        <v>39630</v>
      </c>
      <c r="B88">
        <f>DATOS_BRUTOS!M88-DATOS_BRUTOS!M87</f>
        <v>-3.7990721088352331E-3</v>
      </c>
      <c r="C88" s="5">
        <v>12152.791999999999</v>
      </c>
      <c r="D88">
        <v>-1.10238488</v>
      </c>
      <c r="E88">
        <v>1.3472177133333334</v>
      </c>
      <c r="F88">
        <v>0.66666666666666696</v>
      </c>
      <c r="G88" s="5">
        <v>-41.294750000000931</v>
      </c>
      <c r="H88">
        <v>35.785337156325106</v>
      </c>
      <c r="I88">
        <v>57432081</v>
      </c>
      <c r="J88">
        <f t="shared" si="2"/>
        <v>9.4053142166087262</v>
      </c>
      <c r="K88">
        <f t="shared" si="3"/>
        <v>7.406133910675905E-3</v>
      </c>
    </row>
    <row r="89" spans="1:11" x14ac:dyDescent="0.2">
      <c r="A89" s="6">
        <v>39722</v>
      </c>
      <c r="B89">
        <f>DATOS_BRUTOS!M89-DATOS_BRUTOS!M88</f>
        <v>-2.8015782642551557E-2</v>
      </c>
      <c r="C89" s="5">
        <v>12291.353999999999</v>
      </c>
      <c r="D89">
        <v>2.1758813666666668</v>
      </c>
      <c r="E89">
        <v>1.3640239000000001</v>
      </c>
      <c r="F89">
        <v>0.86666666666666714</v>
      </c>
      <c r="G89" s="5">
        <v>47.01024999999936</v>
      </c>
      <c r="H89">
        <v>35.677286801516338</v>
      </c>
      <c r="I89">
        <v>55696490</v>
      </c>
      <c r="J89">
        <f t="shared" si="2"/>
        <v>9.4166513673623431</v>
      </c>
      <c r="K89">
        <f t="shared" si="3"/>
        <v>-3.7990721088352331E-3</v>
      </c>
    </row>
    <row r="90" spans="1:11" x14ac:dyDescent="0.2">
      <c r="A90" s="6">
        <v>39814</v>
      </c>
      <c r="B90">
        <f>DATOS_BRUTOS!M90-DATOS_BRUTOS!M89</f>
        <v>-8.4681211301447235E-3</v>
      </c>
      <c r="C90" s="5">
        <v>12282.013999999999</v>
      </c>
      <c r="D90">
        <v>2.4503429999999997</v>
      </c>
      <c r="E90">
        <v>1.0761964333333334</v>
      </c>
      <c r="F90">
        <v>1.4000000000000004</v>
      </c>
      <c r="G90" s="5">
        <v>2.5747499999997672</v>
      </c>
      <c r="H90">
        <v>37.67954647126399</v>
      </c>
      <c r="I90">
        <v>56366720</v>
      </c>
      <c r="J90">
        <f t="shared" si="2"/>
        <v>9.4158911947681929</v>
      </c>
      <c r="K90">
        <f t="shared" si="3"/>
        <v>-2.8015782642551557E-2</v>
      </c>
    </row>
    <row r="91" spans="1:11" x14ac:dyDescent="0.2">
      <c r="A91" s="6">
        <v>39904</v>
      </c>
      <c r="B91">
        <f>DATOS_BRUTOS!M91-DATOS_BRUTOS!M90</f>
        <v>1.1487524556823558E-3</v>
      </c>
      <c r="C91" s="5">
        <v>12364.246999999999</v>
      </c>
      <c r="D91">
        <v>0.20863720666666666</v>
      </c>
      <c r="E91">
        <v>1.0174453699999999</v>
      </c>
      <c r="F91">
        <v>1.0333333333333314</v>
      </c>
      <c r="G91" s="5">
        <v>91.645249999997759</v>
      </c>
      <c r="H91">
        <v>39.153616036814867</v>
      </c>
      <c r="I91">
        <v>58118799</v>
      </c>
      <c r="J91">
        <f t="shared" si="2"/>
        <v>9.4225642804060694</v>
      </c>
      <c r="K91">
        <f t="shared" si="3"/>
        <v>-8.4681211301447235E-3</v>
      </c>
    </row>
    <row r="92" spans="1:11" x14ac:dyDescent="0.2">
      <c r="A92" s="6">
        <v>39995</v>
      </c>
      <c r="B92">
        <f>DATOS_BRUTOS!M92-DATOS_BRUTOS!M91</f>
        <v>1.2264951637019905E-2</v>
      </c>
      <c r="C92" s="5">
        <v>12214.675999999999</v>
      </c>
      <c r="D92">
        <v>-0.98495100666666657</v>
      </c>
      <c r="E92">
        <v>1.1250602766666666</v>
      </c>
      <c r="F92">
        <v>0.3333333333333357</v>
      </c>
      <c r="G92" s="5">
        <v>-73.396749999999884</v>
      </c>
      <c r="H92">
        <v>39.411822563194654</v>
      </c>
      <c r="I92">
        <v>58319588</v>
      </c>
      <c r="J92">
        <f t="shared" si="2"/>
        <v>9.4103934585754185</v>
      </c>
      <c r="K92">
        <f t="shared" si="3"/>
        <v>1.1487524556823558E-3</v>
      </c>
    </row>
    <row r="93" spans="1:11" x14ac:dyDescent="0.2">
      <c r="A93" s="6">
        <v>40087</v>
      </c>
      <c r="B93">
        <f>DATOS_BRUTOS!M93-DATOS_BRUTOS!M92</f>
        <v>3.4571570166921362E-3</v>
      </c>
      <c r="C93" s="5">
        <v>12232.605</v>
      </c>
      <c r="D93">
        <v>-1.01170224</v>
      </c>
      <c r="E93">
        <v>0.9688639200000001</v>
      </c>
      <c r="F93">
        <v>0.29999999999999716</v>
      </c>
      <c r="G93" s="5">
        <v>-40.780500000000757</v>
      </c>
      <c r="H93">
        <v>39.215240111944922</v>
      </c>
      <c r="I93">
        <v>59438904</v>
      </c>
      <c r="J93">
        <f t="shared" si="2"/>
        <v>9.4118602068174262</v>
      </c>
      <c r="K93">
        <f t="shared" si="3"/>
        <v>1.2264951637019905E-2</v>
      </c>
    </row>
    <row r="94" spans="1:11" x14ac:dyDescent="0.2">
      <c r="A94" s="6">
        <v>40179</v>
      </c>
      <c r="B94">
        <f>DATOS_BRUTOS!M94-DATOS_BRUTOS!M93</f>
        <v>6.2963682724372916E-3</v>
      </c>
      <c r="C94" s="5">
        <v>12306.043</v>
      </c>
      <c r="D94">
        <v>-1.1659276233333333</v>
      </c>
      <c r="E94">
        <v>1.1403906000000001</v>
      </c>
      <c r="F94">
        <v>-9.9999999999997868E-2</v>
      </c>
      <c r="G94" s="5">
        <v>26.650250000000597</v>
      </c>
      <c r="H94">
        <v>39.115790443717458</v>
      </c>
      <c r="I94">
        <v>58749414</v>
      </c>
      <c r="J94">
        <f t="shared" si="2"/>
        <v>9.4178457215247882</v>
      </c>
      <c r="K94">
        <f t="shared" si="3"/>
        <v>3.4571570166921362E-3</v>
      </c>
    </row>
    <row r="95" spans="1:11" x14ac:dyDescent="0.2">
      <c r="A95" s="6">
        <v>40269</v>
      </c>
      <c r="B95">
        <f>DATOS_BRUTOS!M95-DATOS_BRUTOS!M94</f>
        <v>5.2337383495704159E-3</v>
      </c>
      <c r="C95" s="5">
        <v>12510.578</v>
      </c>
      <c r="D95">
        <v>-0.44433184000000003</v>
      </c>
      <c r="E95">
        <v>1.18495138</v>
      </c>
      <c r="F95">
        <v>-0.20000000000000107</v>
      </c>
      <c r="G95" s="5">
        <v>194.60249999999905</v>
      </c>
      <c r="H95">
        <v>39.057108945872095</v>
      </c>
      <c r="I95">
        <v>60750609</v>
      </c>
      <c r="J95">
        <f t="shared" si="2"/>
        <v>9.434329805431199</v>
      </c>
      <c r="K95">
        <f t="shared" si="3"/>
        <v>6.2963682724372916E-3</v>
      </c>
    </row>
    <row r="96" spans="1:11" x14ac:dyDescent="0.2">
      <c r="A96" s="6">
        <v>40360</v>
      </c>
      <c r="B96">
        <f>DATOS_BRUTOS!M96-DATOS_BRUTOS!M95</f>
        <v>6.2117647256432207E-3</v>
      </c>
      <c r="C96" s="5">
        <v>12578.496999999999</v>
      </c>
      <c r="D96">
        <v>-0.29786952666666666</v>
      </c>
      <c r="E96">
        <v>0.6933302366666666</v>
      </c>
      <c r="F96">
        <v>-0.16666666666666607</v>
      </c>
      <c r="G96" s="5">
        <v>171.56624999999985</v>
      </c>
      <c r="H96">
        <v>39.476078055994023</v>
      </c>
      <c r="I96">
        <v>62337719</v>
      </c>
      <c r="J96">
        <f t="shared" si="2"/>
        <v>9.4397440477589711</v>
      </c>
      <c r="K96">
        <f t="shared" si="3"/>
        <v>5.2337383495704159E-3</v>
      </c>
    </row>
    <row r="97" spans="1:11" x14ac:dyDescent="0.2">
      <c r="A97" s="6">
        <v>40452</v>
      </c>
      <c r="B97">
        <f>DATOS_BRUTOS!M97-DATOS_BRUTOS!M96</f>
        <v>6.7068716238125603E-3</v>
      </c>
      <c r="C97" s="5">
        <v>12626.116</v>
      </c>
      <c r="D97">
        <v>-1.0348827033333334</v>
      </c>
      <c r="E97">
        <v>0.45796802666666664</v>
      </c>
      <c r="F97">
        <v>3.3333333333334991E-2</v>
      </c>
      <c r="G97" s="5">
        <v>120.80749999999898</v>
      </c>
      <c r="H97">
        <v>39.749037170274796</v>
      </c>
      <c r="I97">
        <v>63392316</v>
      </c>
      <c r="J97">
        <f t="shared" si="2"/>
        <v>9.443522646276465</v>
      </c>
      <c r="K97">
        <f t="shared" si="3"/>
        <v>6.2117647256432207E-3</v>
      </c>
    </row>
    <row r="98" spans="1:11" x14ac:dyDescent="0.2">
      <c r="A98" s="6">
        <v>40544</v>
      </c>
      <c r="B98">
        <f>DATOS_BRUTOS!M98-DATOS_BRUTOS!M97</f>
        <v>7.851665047780898E-3</v>
      </c>
      <c r="C98" s="5">
        <v>12753.088</v>
      </c>
      <c r="D98">
        <v>-1.3385378000000001</v>
      </c>
      <c r="E98">
        <v>0.85583840666666655</v>
      </c>
      <c r="F98">
        <v>-0.46666666666666856</v>
      </c>
      <c r="G98" s="5">
        <v>136.01825000000099</v>
      </c>
      <c r="H98">
        <v>39.935244736358989</v>
      </c>
      <c r="I98">
        <v>63822440</v>
      </c>
      <c r="J98">
        <f t="shared" si="2"/>
        <v>9.4535287173402676</v>
      </c>
      <c r="K98">
        <f t="shared" si="3"/>
        <v>6.7068716238125603E-3</v>
      </c>
    </row>
    <row r="99" spans="1:11" x14ac:dyDescent="0.2">
      <c r="A99" s="6">
        <v>40634</v>
      </c>
      <c r="B99">
        <f>DATOS_BRUTOS!M99-DATOS_BRUTOS!M98</f>
        <v>3.8318272612070103E-3</v>
      </c>
      <c r="C99" s="5">
        <v>12727.814</v>
      </c>
      <c r="D99">
        <v>-1.8785123666666665</v>
      </c>
      <c r="E99">
        <v>0.72708155333333335</v>
      </c>
      <c r="F99">
        <v>3.3333333333334991E-2</v>
      </c>
      <c r="G99" s="5">
        <v>56.435250000000451</v>
      </c>
      <c r="H99">
        <v>40.012339896597069</v>
      </c>
      <c r="I99">
        <v>61963585</v>
      </c>
      <c r="J99">
        <f t="shared" si="2"/>
        <v>9.4515449564601859</v>
      </c>
      <c r="K99">
        <f t="shared" si="3"/>
        <v>7.851665047780898E-3</v>
      </c>
    </row>
    <row r="100" spans="1:11" x14ac:dyDescent="0.2">
      <c r="A100" s="6">
        <v>40725</v>
      </c>
      <c r="B100">
        <f>DATOS_BRUTOS!M100-DATOS_BRUTOS!M99</f>
        <v>1.2335122406810228E-3</v>
      </c>
      <c r="C100" s="5">
        <v>12795.612999999999</v>
      </c>
      <c r="D100">
        <v>-1.5362599233333336</v>
      </c>
      <c r="E100">
        <v>0.39462204666666673</v>
      </c>
      <c r="F100">
        <v>-6.6666666666668206E-2</v>
      </c>
      <c r="G100" s="5">
        <v>69.955250000000888</v>
      </c>
      <c r="H100">
        <v>40.420422025103008</v>
      </c>
      <c r="I100">
        <v>63279495</v>
      </c>
      <c r="J100">
        <f t="shared" si="2"/>
        <v>9.4568576567858589</v>
      </c>
      <c r="K100">
        <f t="shared" si="3"/>
        <v>3.8318272612070103E-3</v>
      </c>
    </row>
    <row r="101" spans="1:11" x14ac:dyDescent="0.2">
      <c r="A101" s="6">
        <v>40817</v>
      </c>
      <c r="B101">
        <f>DATOS_BRUTOS!M101-DATOS_BRUTOS!M100</f>
        <v>3.8632624325778409E-3</v>
      </c>
      <c r="C101" s="5">
        <v>12824.419</v>
      </c>
      <c r="D101">
        <v>-1.7303164666666666</v>
      </c>
      <c r="E101">
        <v>0.12670011</v>
      </c>
      <c r="F101">
        <v>-0.36666666666666714</v>
      </c>
      <c r="G101" s="5">
        <v>49.185499999999593</v>
      </c>
      <c r="H101">
        <v>41.811741353401203</v>
      </c>
      <c r="I101">
        <v>65199903</v>
      </c>
      <c r="J101">
        <f t="shared" si="2"/>
        <v>9.4591063668685482</v>
      </c>
      <c r="K101">
        <f t="shared" si="3"/>
        <v>1.2335122406810228E-3</v>
      </c>
    </row>
    <row r="102" spans="1:11" x14ac:dyDescent="0.2">
      <c r="A102" s="6">
        <v>40909</v>
      </c>
      <c r="B102">
        <f>DATOS_BRUTOS!M102-DATOS_BRUTOS!M101</f>
        <v>8.3509418187883711E-3</v>
      </c>
      <c r="C102" s="5">
        <v>13021.21</v>
      </c>
      <c r="D102">
        <v>-1.5283742</v>
      </c>
      <c r="E102">
        <v>0.11239614999999999</v>
      </c>
      <c r="F102">
        <v>-0.36666666666666536</v>
      </c>
      <c r="G102" s="5">
        <v>178.94599999999991</v>
      </c>
      <c r="H102">
        <v>42.333085220240747</v>
      </c>
      <c r="I102">
        <v>65268489</v>
      </c>
      <c r="J102">
        <f t="shared" si="2"/>
        <v>9.4743348453922405</v>
      </c>
      <c r="K102">
        <f t="shared" si="3"/>
        <v>3.8632624325778409E-3</v>
      </c>
    </row>
    <row r="103" spans="1:11" x14ac:dyDescent="0.2">
      <c r="A103" s="6">
        <v>41000</v>
      </c>
      <c r="B103">
        <f>DATOS_BRUTOS!M103-DATOS_BRUTOS!M102</f>
        <v>4.4885981557385435E-5</v>
      </c>
      <c r="C103" s="5">
        <v>13108.717000000001</v>
      </c>
      <c r="D103">
        <v>-1.1612300166666667</v>
      </c>
      <c r="E103">
        <v>1.975756666666666E-2</v>
      </c>
      <c r="F103">
        <v>-6.6666666666668206E-2</v>
      </c>
      <c r="G103" s="5">
        <v>171.22724999999991</v>
      </c>
      <c r="H103">
        <v>42.847507511190145</v>
      </c>
      <c r="I103">
        <v>67082510</v>
      </c>
      <c r="J103">
        <f t="shared" si="2"/>
        <v>9.4810327077429477</v>
      </c>
      <c r="K103">
        <f t="shared" si="3"/>
        <v>8.3509418187883711E-3</v>
      </c>
    </row>
    <row r="104" spans="1:11" x14ac:dyDescent="0.2">
      <c r="A104" s="6">
        <v>41091</v>
      </c>
      <c r="B104">
        <f>DATOS_BRUTOS!M104-DATOS_BRUTOS!M103</f>
        <v>-3.4595853438901258E-5</v>
      </c>
      <c r="C104" s="5">
        <v>13004.868</v>
      </c>
      <c r="D104">
        <v>-1.5004583333333332</v>
      </c>
      <c r="E104">
        <v>-9.4722650000000005E-2</v>
      </c>
      <c r="F104">
        <v>-0.16666666666666607</v>
      </c>
      <c r="G104" s="5">
        <v>15.064499999998588</v>
      </c>
      <c r="H104">
        <v>43.431319417735985</v>
      </c>
      <c r="I104">
        <v>67976728</v>
      </c>
      <c r="J104">
        <f t="shared" si="2"/>
        <v>9.473079027888911</v>
      </c>
      <c r="K104">
        <f t="shared" si="3"/>
        <v>4.4885981557385435E-5</v>
      </c>
    </row>
    <row r="105" spans="1:11" x14ac:dyDescent="0.2">
      <c r="A105" s="6">
        <v>41183</v>
      </c>
      <c r="B105">
        <f>DATOS_BRUTOS!M105-DATOS_BRUTOS!M104</f>
        <v>4.1012476455080105E-3</v>
      </c>
      <c r="C105" s="5">
        <v>13366.76</v>
      </c>
      <c r="D105">
        <v>-1.8957329333333333</v>
      </c>
      <c r="E105">
        <v>-9.0428913333333319E-2</v>
      </c>
      <c r="F105">
        <v>-0.23333333333333339</v>
      </c>
      <c r="G105" s="5">
        <v>241.37125000000015</v>
      </c>
      <c r="H105">
        <v>44.050597296971965</v>
      </c>
      <c r="I105">
        <v>70699809</v>
      </c>
      <c r="J105">
        <f t="shared" si="2"/>
        <v>9.5005263071458135</v>
      </c>
      <c r="K105">
        <f t="shared" si="3"/>
        <v>-3.4595853438901258E-5</v>
      </c>
    </row>
    <row r="106" spans="1:11" x14ac:dyDescent="0.2">
      <c r="A106" s="6">
        <v>41275</v>
      </c>
      <c r="B106">
        <f>DATOS_BRUTOS!M106-DATOS_BRUTOS!M105</f>
        <v>5.3957340076387084E-3</v>
      </c>
      <c r="C106" s="5">
        <v>12837.166999999999</v>
      </c>
      <c r="D106">
        <v>-0.52444344333333337</v>
      </c>
      <c r="E106">
        <v>0.10228077333333334</v>
      </c>
      <c r="F106">
        <v>-6.666666666666643E-2</v>
      </c>
      <c r="G106" s="5">
        <v>-242.21100000000115</v>
      </c>
      <c r="H106">
        <v>44.754771238440185</v>
      </c>
      <c r="I106">
        <v>71752027</v>
      </c>
      <c r="J106">
        <f t="shared" si="2"/>
        <v>9.4600999142703852</v>
      </c>
      <c r="K106">
        <f t="shared" si="3"/>
        <v>4.1012476455080105E-3</v>
      </c>
    </row>
    <row r="107" spans="1:11" x14ac:dyDescent="0.2">
      <c r="A107" s="6">
        <v>41365</v>
      </c>
      <c r="B107">
        <f>DATOS_BRUTOS!M107-DATOS_BRUTOS!M106</f>
        <v>1.1945913958246734E-3</v>
      </c>
      <c r="C107" s="5">
        <v>12934.441999999999</v>
      </c>
      <c r="D107">
        <v>-0.65569163333333336</v>
      </c>
      <c r="E107">
        <v>6.1363546666666664E-2</v>
      </c>
      <c r="F107">
        <v>-0.19999999999999929</v>
      </c>
      <c r="G107" s="5">
        <v>-101.36724999999933</v>
      </c>
      <c r="H107">
        <v>45.261351390521121</v>
      </c>
      <c r="I107">
        <v>74083244</v>
      </c>
      <c r="J107">
        <f t="shared" si="2"/>
        <v>9.4676489549188485</v>
      </c>
      <c r="K107">
        <f t="shared" si="3"/>
        <v>5.3957340076387084E-3</v>
      </c>
    </row>
    <row r="108" spans="1:11" x14ac:dyDescent="0.2">
      <c r="A108" s="6">
        <v>41456</v>
      </c>
      <c r="B108">
        <f>DATOS_BRUTOS!M108-DATOS_BRUTOS!M107</f>
        <v>4.0301501542625573E-3</v>
      </c>
      <c r="C108" s="5">
        <v>12979.638000000001</v>
      </c>
      <c r="D108">
        <v>-1.0326503566666667</v>
      </c>
      <c r="E108">
        <v>0.52076141333333337</v>
      </c>
      <c r="F108">
        <v>-0.30000000000000071</v>
      </c>
      <c r="G108" s="5">
        <v>-49.863749999998618</v>
      </c>
      <c r="H108">
        <v>45.80433392948207</v>
      </c>
      <c r="I108">
        <v>76180139</v>
      </c>
      <c r="J108">
        <f t="shared" si="2"/>
        <v>9.4711371008090808</v>
      </c>
      <c r="K108">
        <f t="shared" si="3"/>
        <v>1.1945913958246734E-3</v>
      </c>
    </row>
    <row r="109" spans="1:11" x14ac:dyDescent="0.2">
      <c r="A109" s="6">
        <v>41548</v>
      </c>
      <c r="B109">
        <f>DATOS_BRUTOS!M109-DATOS_BRUTOS!M108</f>
        <v>7.1926511166822138E-3</v>
      </c>
      <c r="C109" s="5">
        <v>12997.522000000001</v>
      </c>
      <c r="D109">
        <v>-1.3358311666666667</v>
      </c>
      <c r="E109">
        <v>0.46696903000000001</v>
      </c>
      <c r="F109">
        <v>-0.29999999999999982</v>
      </c>
      <c r="G109" s="5">
        <v>60.329750000000786</v>
      </c>
      <c r="H109">
        <v>46.195456493784825</v>
      </c>
      <c r="I109">
        <v>77879343</v>
      </c>
      <c r="J109">
        <f t="shared" si="2"/>
        <v>9.4725140028896373</v>
      </c>
      <c r="K109">
        <f t="shared" si="3"/>
        <v>4.0301501542625573E-3</v>
      </c>
    </row>
    <row r="110" spans="1:11" x14ac:dyDescent="0.2">
      <c r="A110" s="6">
        <v>41640</v>
      </c>
      <c r="B110">
        <f>DATOS_BRUTOS!M110-DATOS_BRUTOS!M109</f>
        <v>3.9560042394679584E-3</v>
      </c>
      <c r="C110" s="5">
        <v>13149.135</v>
      </c>
      <c r="D110">
        <v>-1.2069475566666668</v>
      </c>
      <c r="E110">
        <v>0.58992239999999996</v>
      </c>
      <c r="F110">
        <v>-0.26666666666666661</v>
      </c>
      <c r="G110" s="5">
        <v>133.95074999999997</v>
      </c>
      <c r="H110">
        <v>46.927852251067272</v>
      </c>
      <c r="I110">
        <v>79927103</v>
      </c>
      <c r="J110">
        <f t="shared" si="2"/>
        <v>9.4841112559746659</v>
      </c>
      <c r="K110">
        <f t="shared" si="3"/>
        <v>7.1926511166822138E-3</v>
      </c>
    </row>
    <row r="111" spans="1:11" x14ac:dyDescent="0.2">
      <c r="A111" s="6">
        <v>41730</v>
      </c>
      <c r="B111">
        <f>DATOS_BRUTOS!M111-DATOS_BRUTOS!M110</f>
        <v>8.3945282291804091E-3</v>
      </c>
      <c r="C111" s="5">
        <v>13314.492</v>
      </c>
      <c r="D111">
        <v>-1.3440871666666665</v>
      </c>
      <c r="E111">
        <v>0.65120189666666661</v>
      </c>
      <c r="F111">
        <v>-0.46666666666666679</v>
      </c>
      <c r="G111" s="5">
        <v>204.29524999999921</v>
      </c>
      <c r="H111">
        <v>47.346798460239107</v>
      </c>
      <c r="I111">
        <v>80519796</v>
      </c>
      <c r="J111">
        <f t="shared" si="2"/>
        <v>9.4966083450605776</v>
      </c>
      <c r="K111">
        <f t="shared" si="3"/>
        <v>3.9560042394679584E-3</v>
      </c>
    </row>
    <row r="112" spans="1:11" x14ac:dyDescent="0.2">
      <c r="A112" s="6">
        <v>41821</v>
      </c>
      <c r="B112">
        <f>DATOS_BRUTOS!M112-DATOS_BRUTOS!M111</f>
        <v>9.108877936622406E-3</v>
      </c>
      <c r="C112" s="5">
        <v>13439.657999999999</v>
      </c>
      <c r="D112">
        <v>-1.6918315999999998</v>
      </c>
      <c r="E112">
        <v>0.60708686000000001</v>
      </c>
      <c r="F112">
        <v>-0.13333333333333286</v>
      </c>
      <c r="G112" s="5">
        <v>214.45624999999927</v>
      </c>
      <c r="H112">
        <v>47.780517185090119</v>
      </c>
      <c r="I112">
        <v>81940738</v>
      </c>
      <c r="J112">
        <f t="shared" si="2"/>
        <v>9.5059651673248027</v>
      </c>
      <c r="K112">
        <f t="shared" si="3"/>
        <v>8.3945282291804091E-3</v>
      </c>
    </row>
    <row r="113" spans="1:11" x14ac:dyDescent="0.2">
      <c r="A113" s="6">
        <v>41913</v>
      </c>
      <c r="B113">
        <f>DATOS_BRUTOS!M113-DATOS_BRUTOS!M112</f>
        <v>8.0163564045925284E-3</v>
      </c>
      <c r="C113" s="5">
        <v>13631.343000000001</v>
      </c>
      <c r="D113">
        <v>-1.3210927933333334</v>
      </c>
      <c r="E113">
        <v>0.59966344333333332</v>
      </c>
      <c r="F113">
        <v>-0.36666666666666714</v>
      </c>
      <c r="G113" s="5">
        <v>247.68599999999969</v>
      </c>
      <c r="H113">
        <v>48.269173004095819</v>
      </c>
      <c r="I113">
        <v>83458489</v>
      </c>
      <c r="J113">
        <f t="shared" si="2"/>
        <v>9.5201270524851243</v>
      </c>
      <c r="K113">
        <f t="shared" si="3"/>
        <v>9.108877936622406E-3</v>
      </c>
    </row>
    <row r="114" spans="1:11" x14ac:dyDescent="0.2">
      <c r="A114" s="6">
        <v>42005</v>
      </c>
      <c r="B114">
        <f>DATOS_BRUTOS!M114-DATOS_BRUTOS!M113</f>
        <v>4.5035739362990768E-3</v>
      </c>
      <c r="C114" s="5">
        <v>13818.963</v>
      </c>
      <c r="D114">
        <v>1.1941646533333334</v>
      </c>
      <c r="E114">
        <v>0.66667619999999994</v>
      </c>
      <c r="F114">
        <v>-0.16666666666666607</v>
      </c>
      <c r="G114" s="5">
        <v>267.84899999999834</v>
      </c>
      <c r="H114">
        <v>49.046666216383549</v>
      </c>
      <c r="I114">
        <v>84202703</v>
      </c>
      <c r="J114">
        <f t="shared" si="2"/>
        <v>9.5337970583268561</v>
      </c>
      <c r="K114">
        <f t="shared" si="3"/>
        <v>8.0163564045925284E-3</v>
      </c>
    </row>
    <row r="115" spans="1:11" x14ac:dyDescent="0.2">
      <c r="A115" s="6">
        <v>42095</v>
      </c>
      <c r="B115">
        <f>DATOS_BRUTOS!M115-DATOS_BRUTOS!M114</f>
        <v>6.174946582536478E-3</v>
      </c>
      <c r="C115" s="5">
        <v>13860.572</v>
      </c>
      <c r="D115">
        <v>-1.00139055</v>
      </c>
      <c r="E115">
        <v>0.49934058666666664</v>
      </c>
      <c r="F115">
        <v>-0.10000000000000053</v>
      </c>
      <c r="G115" s="5">
        <v>172.9380000000001</v>
      </c>
      <c r="H115">
        <v>50.294802886419809</v>
      </c>
      <c r="I115">
        <v>83249846</v>
      </c>
      <c r="J115">
        <f t="shared" si="2"/>
        <v>9.5368035417335868</v>
      </c>
      <c r="K115">
        <f t="shared" si="3"/>
        <v>4.5035739362990768E-3</v>
      </c>
    </row>
    <row r="116" spans="1:11" x14ac:dyDescent="0.2">
      <c r="A116" s="6">
        <v>42186</v>
      </c>
      <c r="B116">
        <f>DATOS_BRUTOS!M116-DATOS_BRUTOS!M115</f>
        <v>6.9706547887360415E-3</v>
      </c>
      <c r="C116" s="5">
        <v>13937.924999999999</v>
      </c>
      <c r="D116">
        <v>-1.4379066333333332</v>
      </c>
      <c r="E116">
        <v>0.57594679000000004</v>
      </c>
      <c r="F116">
        <v>-0.33333333333333304</v>
      </c>
      <c r="G116" s="5">
        <v>125.7242499999993</v>
      </c>
      <c r="H116">
        <v>50.484610623452625</v>
      </c>
      <c r="I116">
        <v>84735567</v>
      </c>
      <c r="J116">
        <f t="shared" si="2"/>
        <v>9.542368821011106</v>
      </c>
      <c r="K116">
        <f t="shared" si="3"/>
        <v>6.174946582536478E-3</v>
      </c>
    </row>
    <row r="117" spans="1:11" x14ac:dyDescent="0.2">
      <c r="A117" s="6">
        <v>42278</v>
      </c>
      <c r="B117">
        <f>DATOS_BRUTOS!M117-DATOS_BRUTOS!M116</f>
        <v>3.3278729946832897E-3</v>
      </c>
      <c r="C117" s="5">
        <v>14016.837</v>
      </c>
      <c r="D117">
        <v>-0.77173495999999997</v>
      </c>
      <c r="E117">
        <v>0.61413321333333337</v>
      </c>
      <c r="F117">
        <v>-6.6666666666667318E-2</v>
      </c>
      <c r="G117" s="5">
        <v>108.26274999999987</v>
      </c>
      <c r="H117">
        <v>50.890948967508216</v>
      </c>
      <c r="I117">
        <v>85872580</v>
      </c>
      <c r="J117">
        <f t="shared" si="2"/>
        <v>9.5480145288589089</v>
      </c>
      <c r="K117">
        <f t="shared" si="3"/>
        <v>6.9706547887360415E-3</v>
      </c>
    </row>
    <row r="118" spans="1:11" x14ac:dyDescent="0.2">
      <c r="A118" s="6">
        <v>42370</v>
      </c>
      <c r="B118">
        <f>DATOS_BRUTOS!M118-DATOS_BRUTOS!M117</f>
        <v>8.7414316491294386E-3</v>
      </c>
      <c r="C118" s="5">
        <v>14130.636</v>
      </c>
      <c r="D118">
        <v>-0.29339820666666666</v>
      </c>
      <c r="E118">
        <v>0.60821712999999999</v>
      </c>
      <c r="F118">
        <v>-0.13333333333333375</v>
      </c>
      <c r="G118" s="5">
        <v>144.14350000000013</v>
      </c>
      <c r="H118">
        <v>51.614200762146623</v>
      </c>
      <c r="I118">
        <v>87440607</v>
      </c>
      <c r="J118">
        <f t="shared" si="2"/>
        <v>9.5561004852813376</v>
      </c>
      <c r="K118">
        <f t="shared" si="3"/>
        <v>3.3278729946832897E-3</v>
      </c>
    </row>
    <row r="119" spans="1:11" x14ac:dyDescent="0.2">
      <c r="A119" s="6">
        <v>42461</v>
      </c>
      <c r="B119">
        <f>DATOS_BRUTOS!M119-DATOS_BRUTOS!M118</f>
        <v>4.6842925319854345E-3</v>
      </c>
      <c r="C119" s="5">
        <v>14102.14</v>
      </c>
      <c r="D119">
        <v>-0.97097101000000008</v>
      </c>
      <c r="E119">
        <v>0.42600701000000002</v>
      </c>
      <c r="F119">
        <v>3.3333333333333215E-2</v>
      </c>
      <c r="G119" s="5">
        <v>55.255499999999302</v>
      </c>
      <c r="H119">
        <v>52.79069147779942</v>
      </c>
      <c r="I119">
        <v>88981434</v>
      </c>
      <c r="J119">
        <f t="shared" si="2"/>
        <v>9.5540818378995418</v>
      </c>
      <c r="K119">
        <f t="shared" si="3"/>
        <v>8.7414316491294386E-3</v>
      </c>
    </row>
    <row r="120" spans="1:11" x14ac:dyDescent="0.2">
      <c r="A120" s="6">
        <v>42552</v>
      </c>
      <c r="B120">
        <f>DATOS_BRUTOS!M120-DATOS_BRUTOS!M119</f>
        <v>7.0688591911043375E-3</v>
      </c>
      <c r="C120" s="5">
        <v>14181.975</v>
      </c>
      <c r="D120">
        <v>-1.7071255933333334</v>
      </c>
      <c r="E120">
        <v>0.20275289999999999</v>
      </c>
      <c r="F120">
        <v>-3.3333333333333215E-2</v>
      </c>
      <c r="G120" s="5">
        <v>74.078000000001339</v>
      </c>
      <c r="H120">
        <v>53.279908732974391</v>
      </c>
      <c r="I120">
        <v>89585605</v>
      </c>
      <c r="J120">
        <f t="shared" si="2"/>
        <v>9.5597270710644757</v>
      </c>
      <c r="K120">
        <f t="shared" si="3"/>
        <v>4.6842925319854345E-3</v>
      </c>
    </row>
    <row r="121" spans="1:11" x14ac:dyDescent="0.2">
      <c r="A121" s="6">
        <v>42644</v>
      </c>
      <c r="B121">
        <f>DATOS_BRUTOS!M121-DATOS_BRUTOS!M120</f>
        <v>5.5276852862107262E-3</v>
      </c>
      <c r="C121" s="5">
        <v>14274.209000000001</v>
      </c>
      <c r="D121">
        <v>-1.9290058533333336</v>
      </c>
      <c r="E121">
        <v>0.44562090666666671</v>
      </c>
      <c r="F121">
        <v>-0.13333333333333286</v>
      </c>
      <c r="G121" s="5">
        <v>101.96900000000096</v>
      </c>
      <c r="H121">
        <v>53.883303478286173</v>
      </c>
      <c r="I121">
        <v>91909139</v>
      </c>
      <c r="J121">
        <f t="shared" si="2"/>
        <v>9.5662096214302643</v>
      </c>
      <c r="K121">
        <f t="shared" si="3"/>
        <v>7.0688591911043375E-3</v>
      </c>
    </row>
    <row r="122" spans="1:11" x14ac:dyDescent="0.2">
      <c r="A122" s="6">
        <v>42736</v>
      </c>
      <c r="B122">
        <f>DATOS_BRUTOS!M122-DATOS_BRUTOS!M121</f>
        <v>7.8069419774564608E-3</v>
      </c>
      <c r="C122" s="5">
        <v>14422.281000000001</v>
      </c>
      <c r="D122">
        <v>-0.90382332999999992</v>
      </c>
      <c r="E122">
        <v>0.80551189000000001</v>
      </c>
      <c r="F122">
        <v>-0.19999999999999929</v>
      </c>
      <c r="G122" s="5">
        <v>177.12975000000006</v>
      </c>
      <c r="H122">
        <v>54.359895650498004</v>
      </c>
      <c r="I122">
        <v>93805051</v>
      </c>
      <c r="J122">
        <f t="shared" si="2"/>
        <v>9.5765295814083728</v>
      </c>
      <c r="K122">
        <f t="shared" si="3"/>
        <v>5.5276852862107262E-3</v>
      </c>
    </row>
    <row r="123" spans="1:11" x14ac:dyDescent="0.2">
      <c r="A123" s="6">
        <v>42826</v>
      </c>
      <c r="B123">
        <f>DATOS_BRUTOS!M123-DATOS_BRUTOS!M122</f>
        <v>4.1092713946770942E-3</v>
      </c>
      <c r="C123" s="5">
        <v>14579.572</v>
      </c>
      <c r="D123">
        <v>-9.542070333333337E-2</v>
      </c>
      <c r="E123">
        <v>0.75942464333333337</v>
      </c>
      <c r="F123">
        <v>-0.20000000000000018</v>
      </c>
      <c r="G123" s="5">
        <v>215.06274999999914</v>
      </c>
      <c r="H123">
        <v>54.775350401972887</v>
      </c>
      <c r="I123">
        <v>95465459</v>
      </c>
      <c r="J123">
        <f t="shared" si="2"/>
        <v>9.587376649850567</v>
      </c>
      <c r="K123">
        <f t="shared" si="3"/>
        <v>7.8069419774564608E-3</v>
      </c>
    </row>
    <row r="124" spans="1:11" x14ac:dyDescent="0.2">
      <c r="A124" s="6">
        <v>42917</v>
      </c>
      <c r="B124">
        <f>DATOS_BRUTOS!M124-DATOS_BRUTOS!M123</f>
        <v>6.3783002287269852E-3</v>
      </c>
      <c r="C124" s="5">
        <v>14681.438</v>
      </c>
      <c r="D124">
        <v>-0.61079391000000005</v>
      </c>
      <c r="E124">
        <v>0.65369630666666667</v>
      </c>
      <c r="F124">
        <v>-3.3333333333334103E-2</v>
      </c>
      <c r="G124" s="5">
        <v>192.06299999999828</v>
      </c>
      <c r="H124">
        <v>55.412911682778962</v>
      </c>
      <c r="I124">
        <v>97886194</v>
      </c>
      <c r="J124">
        <f t="shared" si="2"/>
        <v>9.5943392537743613</v>
      </c>
      <c r="K124">
        <f t="shared" si="3"/>
        <v>4.1092713946770942E-3</v>
      </c>
    </row>
    <row r="125" spans="1:11" x14ac:dyDescent="0.2">
      <c r="A125" s="6">
        <v>43009</v>
      </c>
      <c r="B125">
        <f>DATOS_BRUTOS!M125-DATOS_BRUTOS!M124</f>
        <v>9.7292309000831523E-3</v>
      </c>
      <c r="C125" s="5">
        <v>14772.454</v>
      </c>
      <c r="D125">
        <v>-1.5462616966666667</v>
      </c>
      <c r="E125">
        <v>0.68479439666666664</v>
      </c>
      <c r="F125">
        <v>-0.16666666666666607</v>
      </c>
      <c r="G125" s="5">
        <v>158.51774999999907</v>
      </c>
      <c r="H125">
        <v>55.731041596171018</v>
      </c>
      <c r="I125">
        <v>98927914</v>
      </c>
      <c r="J125">
        <f t="shared" si="2"/>
        <v>9.6005195093209217</v>
      </c>
      <c r="K125">
        <f t="shared" si="3"/>
        <v>6.3783002287269852E-3</v>
      </c>
    </row>
    <row r="126" spans="1:11" x14ac:dyDescent="0.2">
      <c r="A126" s="6">
        <v>43101</v>
      </c>
      <c r="B126">
        <f>DATOS_BRUTOS!M126-DATOS_BRUTOS!M125</f>
        <v>8.1011945491695769E-3</v>
      </c>
      <c r="C126" s="5">
        <v>14927.504999999999</v>
      </c>
      <c r="D126">
        <v>-8.8161919999999963E-2</v>
      </c>
      <c r="E126">
        <v>0.99726437666666656</v>
      </c>
      <c r="F126">
        <v>-0.13333333333333375</v>
      </c>
      <c r="G126" s="5">
        <v>187.26274999999987</v>
      </c>
      <c r="H126">
        <v>55.854278064051641</v>
      </c>
      <c r="I126">
        <v>100168469</v>
      </c>
      <c r="J126">
        <f t="shared" si="2"/>
        <v>9.6109607633733614</v>
      </c>
      <c r="K126">
        <f t="shared" si="3"/>
        <v>9.7292309000831523E-3</v>
      </c>
    </row>
    <row r="127" spans="1:11" x14ac:dyDescent="0.2">
      <c r="A127" s="6">
        <v>43191</v>
      </c>
      <c r="B127">
        <f>DATOS_BRUTOS!M127-DATOS_BRUTOS!M126</f>
        <v>3.8138271333352236E-3</v>
      </c>
      <c r="C127" s="5">
        <v>15061.42</v>
      </c>
      <c r="D127">
        <v>0.65689980333333331</v>
      </c>
      <c r="E127">
        <v>1.1587247566666665</v>
      </c>
      <c r="F127">
        <v>-9.9999999999999645E-2</v>
      </c>
      <c r="G127" s="5">
        <v>200.71575000000121</v>
      </c>
      <c r="H127">
        <v>55.820986515429844</v>
      </c>
      <c r="I127">
        <v>102114068</v>
      </c>
      <c r="J127">
        <f t="shared" si="2"/>
        <v>9.6198917864175399</v>
      </c>
      <c r="K127">
        <f t="shared" si="3"/>
        <v>8.1011945491695769E-3</v>
      </c>
    </row>
    <row r="128" spans="1:11" x14ac:dyDescent="0.2">
      <c r="A128" s="6">
        <v>43282</v>
      </c>
      <c r="B128">
        <f>DATOS_BRUTOS!M128-DATOS_BRUTOS!M127</f>
        <v>3.2502435974226529E-3</v>
      </c>
      <c r="C128" s="5">
        <v>15220.277</v>
      </c>
      <c r="D128">
        <v>-0.30980604333333334</v>
      </c>
      <c r="E128">
        <v>1.1808740766666668</v>
      </c>
      <c r="F128">
        <v>-0.16666666666666652</v>
      </c>
      <c r="G128" s="5">
        <v>224.86299999999937</v>
      </c>
      <c r="H128">
        <v>56.033945138337614</v>
      </c>
      <c r="I128">
        <v>98464700</v>
      </c>
      <c r="J128">
        <f t="shared" si="2"/>
        <v>9.6303838309872507</v>
      </c>
      <c r="K128">
        <f t="shared" si="3"/>
        <v>3.8138271333352236E-3</v>
      </c>
    </row>
    <row r="129" spans="1:11" x14ac:dyDescent="0.2">
      <c r="A129" s="6">
        <v>43374</v>
      </c>
      <c r="B129">
        <f>DATOS_BRUTOS!M129-DATOS_BRUTOS!M128</f>
        <v>2.9002212507638347E-3</v>
      </c>
      <c r="C129" s="5">
        <v>15365.341</v>
      </c>
      <c r="D129">
        <v>0.13845352</v>
      </c>
      <c r="E129">
        <v>1.2879172733333333</v>
      </c>
      <c r="F129">
        <v>6.666666666666643E-2</v>
      </c>
      <c r="G129" s="5">
        <v>221.70525000000089</v>
      </c>
      <c r="H129">
        <v>56.331301701326254</v>
      </c>
      <c r="I129">
        <v>104280486</v>
      </c>
      <c r="J129">
        <f t="shared" si="2"/>
        <v>9.6398696676147697</v>
      </c>
      <c r="K129">
        <f t="shared" si="3"/>
        <v>3.2502435974226529E-3</v>
      </c>
    </row>
    <row r="130" spans="1:11" x14ac:dyDescent="0.2">
      <c r="A130" s="6">
        <v>43466</v>
      </c>
      <c r="B130">
        <f>DATOS_BRUTOS!M130-DATOS_BRUTOS!M129</f>
        <v>2.7137437997204472E-4</v>
      </c>
      <c r="C130" s="5">
        <v>15554.293</v>
      </c>
      <c r="D130">
        <v>2.2878098066666666</v>
      </c>
      <c r="E130">
        <v>0.87527494666666661</v>
      </c>
      <c r="F130">
        <v>3.3333333333333215E-2</v>
      </c>
      <c r="G130" s="5">
        <v>253.96025000000009</v>
      </c>
      <c r="H130">
        <v>56.483493001887531</v>
      </c>
      <c r="I130">
        <v>106303164</v>
      </c>
      <c r="J130">
        <f t="shared" si="2"/>
        <v>9.652091956675509</v>
      </c>
      <c r="K130">
        <f t="shared" si="3"/>
        <v>2.9002212507638347E-3</v>
      </c>
    </row>
    <row r="131" spans="1:11" x14ac:dyDescent="0.2">
      <c r="A131" s="6">
        <v>43556</v>
      </c>
      <c r="B131">
        <f>DATOS_BRUTOS!M131-DATOS_BRUTOS!M130</f>
        <v>9.8082025195651568E-3</v>
      </c>
      <c r="C131" s="5">
        <v>15542.915000000001</v>
      </c>
      <c r="D131">
        <v>2.2779739166666668</v>
      </c>
      <c r="E131">
        <v>0.46067805666666667</v>
      </c>
      <c r="F131">
        <v>-0.23333333333333339</v>
      </c>
      <c r="G131" s="5">
        <v>122.20850000000064</v>
      </c>
      <c r="H131">
        <v>57.106285798478744</v>
      </c>
      <c r="I131">
        <v>106956361</v>
      </c>
      <c r="J131">
        <f t="shared" ref="J131:J155" si="4">LN(C131)</f>
        <v>9.6513601867682084</v>
      </c>
      <c r="K131">
        <f t="shared" si="3"/>
        <v>2.7137437997204472E-4</v>
      </c>
    </row>
    <row r="132" spans="1:11" x14ac:dyDescent="0.2">
      <c r="A132" s="6">
        <v>43647</v>
      </c>
      <c r="B132">
        <f>DATOS_BRUTOS!M132-DATOS_BRUTOS!M131</f>
        <v>1.0140677994240122E-2</v>
      </c>
      <c r="C132" s="5">
        <v>15647.739</v>
      </c>
      <c r="D132">
        <v>0.66055223666666663</v>
      </c>
      <c r="E132">
        <v>0.36520973000000007</v>
      </c>
      <c r="F132">
        <v>-3.3333333333333215E-2</v>
      </c>
      <c r="G132" s="5">
        <v>120.16699999999946</v>
      </c>
      <c r="H132">
        <v>57.384807656897038</v>
      </c>
      <c r="I132">
        <v>110269096</v>
      </c>
      <c r="J132">
        <f t="shared" si="4"/>
        <v>9.6580817126876415</v>
      </c>
      <c r="K132">
        <f t="shared" ref="K132:K155" si="5">B131</f>
        <v>9.8082025195651568E-3</v>
      </c>
    </row>
    <row r="133" spans="1:11" x14ac:dyDescent="0.2">
      <c r="A133" s="6">
        <v>43739</v>
      </c>
      <c r="B133">
        <f>DATOS_BRUTOS!M133-DATOS_BRUTOS!M132</f>
        <v>6.7956359680536593E-3</v>
      </c>
      <c r="C133" s="5">
        <v>15722.81</v>
      </c>
      <c r="D133">
        <v>-0.18442748</v>
      </c>
      <c r="E133">
        <v>0.43873376999999997</v>
      </c>
      <c r="F133">
        <v>0</v>
      </c>
      <c r="G133" s="5">
        <v>105.87075000000004</v>
      </c>
      <c r="H133">
        <v>58.265290582570906</v>
      </c>
      <c r="I133">
        <v>104043342</v>
      </c>
      <c r="J133">
        <f t="shared" si="4"/>
        <v>9.6628678031894122</v>
      </c>
      <c r="K133">
        <f t="shared" si="5"/>
        <v>1.0140677994240122E-2</v>
      </c>
    </row>
    <row r="134" spans="1:11" x14ac:dyDescent="0.2">
      <c r="A134" s="6">
        <v>43831</v>
      </c>
      <c r="B134">
        <f>DATOS_BRUTOS!M134-DATOS_BRUTOS!M133</f>
        <v>-1.8509931371907484E-2</v>
      </c>
      <c r="C134" s="5">
        <v>15825.897000000001</v>
      </c>
      <c r="D134">
        <v>0.73867384666666658</v>
      </c>
      <c r="E134">
        <v>0.23108154999999997</v>
      </c>
      <c r="F134">
        <v>0.23333333333333339</v>
      </c>
      <c r="G134" s="5">
        <v>141.05674999999974</v>
      </c>
      <c r="H134">
        <v>59.07435269057369</v>
      </c>
      <c r="I134">
        <v>111728584</v>
      </c>
      <c r="J134">
        <f t="shared" si="4"/>
        <v>9.6694029278704416</v>
      </c>
      <c r="K134">
        <f t="shared" si="5"/>
        <v>6.7956359680536593E-3</v>
      </c>
    </row>
    <row r="135" spans="1:11" x14ac:dyDescent="0.2">
      <c r="A135" s="6">
        <v>43922</v>
      </c>
      <c r="B135">
        <f>DATOS_BRUTOS!M135-DATOS_BRUTOS!M134</f>
        <v>-9.1428795959068054E-2</v>
      </c>
      <c r="C135" s="5">
        <v>17395.332999999999</v>
      </c>
      <c r="D135">
        <v>2.5121685133333336</v>
      </c>
      <c r="E135">
        <v>-9.7716766666666663E-2</v>
      </c>
      <c r="F135">
        <v>9.1666666666666661</v>
      </c>
      <c r="G135" s="5">
        <v>1247.38825</v>
      </c>
      <c r="H135">
        <v>60.306212602420757</v>
      </c>
      <c r="I135">
        <v>115917021</v>
      </c>
      <c r="J135">
        <f t="shared" si="4"/>
        <v>9.7639572308348299</v>
      </c>
      <c r="K135">
        <f t="shared" si="5"/>
        <v>-1.8509931371907484E-2</v>
      </c>
    </row>
    <row r="136" spans="1:11" x14ac:dyDescent="0.2">
      <c r="A136" s="6">
        <v>44013</v>
      </c>
      <c r="B136">
        <f>DATOS_BRUTOS!M136-DATOS_BRUTOS!M135</f>
        <v>8.5922147766712698E-2</v>
      </c>
      <c r="C136" s="5">
        <v>16778.237000000001</v>
      </c>
      <c r="D136">
        <v>-1.1012422366666665</v>
      </c>
      <c r="E136">
        <v>-0.36527181000000003</v>
      </c>
      <c r="F136">
        <v>-4.1999999999999993</v>
      </c>
      <c r="G136" s="5">
        <v>347.66775000000052</v>
      </c>
      <c r="H136">
        <v>68.906299585368771</v>
      </c>
      <c r="I136">
        <v>123845414</v>
      </c>
      <c r="J136">
        <f t="shared" si="4"/>
        <v>9.727837908947194</v>
      </c>
      <c r="K136">
        <f t="shared" si="5"/>
        <v>-9.1428795959068054E-2</v>
      </c>
    </row>
    <row r="137" spans="1:11" x14ac:dyDescent="0.2">
      <c r="A137" s="6">
        <v>44105</v>
      </c>
      <c r="B137">
        <f>DATOS_BRUTOS!M137-DATOS_BRUTOS!M136</f>
        <v>1.0788845652987433E-2</v>
      </c>
      <c r="C137" s="5">
        <v>16431.388999999999</v>
      </c>
      <c r="D137">
        <v>-1.4630725466666668</v>
      </c>
      <c r="E137">
        <v>-0.24600518333333332</v>
      </c>
      <c r="F137">
        <v>-2.0333333333333341</v>
      </c>
      <c r="G137" s="5">
        <v>-176.32500000000073</v>
      </c>
      <c r="H137">
        <v>70.993974276874653</v>
      </c>
      <c r="I137">
        <v>129069681</v>
      </c>
      <c r="J137">
        <f t="shared" si="4"/>
        <v>9.7069487479327101</v>
      </c>
      <c r="K137">
        <f t="shared" si="5"/>
        <v>8.5922147766712698E-2</v>
      </c>
    </row>
    <row r="138" spans="1:11" x14ac:dyDescent="0.2">
      <c r="A138" s="6">
        <v>44197</v>
      </c>
      <c r="B138">
        <f>DATOS_BRUTOS!M138-DATOS_BRUTOS!M137</f>
        <v>2.2649420481712923E-2</v>
      </c>
      <c r="C138" s="5">
        <v>18411.663</v>
      </c>
      <c r="D138">
        <v>-1.7146539899999997</v>
      </c>
      <c r="E138">
        <v>-0.15111137999999999</v>
      </c>
      <c r="F138">
        <v>-0.53333333333333233</v>
      </c>
      <c r="G138" s="5">
        <v>1157.5074999999997</v>
      </c>
      <c r="H138">
        <v>72.506753685801684</v>
      </c>
      <c r="I138">
        <v>135613100</v>
      </c>
      <c r="J138">
        <f t="shared" si="4"/>
        <v>9.820739601489155</v>
      </c>
      <c r="K138">
        <f t="shared" si="5"/>
        <v>1.0788845652987433E-2</v>
      </c>
    </row>
    <row r="139" spans="1:11" x14ac:dyDescent="0.2">
      <c r="A139" s="6">
        <v>44287</v>
      </c>
      <c r="B139">
        <f>DATOS_BRUTOS!M139-DATOS_BRUTOS!M138</f>
        <v>3.1767199115092737E-2</v>
      </c>
      <c r="C139" s="5">
        <v>16975.294999999998</v>
      </c>
      <c r="D139">
        <v>-1.7180574933333332</v>
      </c>
      <c r="E139">
        <v>4.9776556666666666E-2</v>
      </c>
      <c r="F139">
        <v>-0.3000000000000016</v>
      </c>
      <c r="G139" s="5">
        <v>-173.85100000000239</v>
      </c>
      <c r="H139">
        <v>74.327672560039858</v>
      </c>
      <c r="I139">
        <v>138898732</v>
      </c>
      <c r="J139">
        <f t="shared" si="4"/>
        <v>9.7395143307736838</v>
      </c>
      <c r="K139">
        <f t="shared" si="5"/>
        <v>2.2649420481712923E-2</v>
      </c>
    </row>
    <row r="140" spans="1:11" x14ac:dyDescent="0.2">
      <c r="A140" s="6">
        <v>44378</v>
      </c>
      <c r="B140">
        <f>DATOS_BRUTOS!M140-DATOS_BRUTOS!M139</f>
        <v>7.0314111781826227E-3</v>
      </c>
      <c r="C140" s="5">
        <v>16780.248</v>
      </c>
      <c r="D140">
        <v>-2.8984552233333338</v>
      </c>
      <c r="E140">
        <v>-0.14023619333333334</v>
      </c>
      <c r="F140">
        <v>-0.86666666666666625</v>
      </c>
      <c r="G140" s="5">
        <v>-369.4007500000007</v>
      </c>
      <c r="H140">
        <v>75.774195149800178</v>
      </c>
      <c r="I140">
        <v>142994498</v>
      </c>
      <c r="J140">
        <f t="shared" si="4"/>
        <v>9.7279577594113853</v>
      </c>
      <c r="K140">
        <f t="shared" si="5"/>
        <v>3.1767199115092737E-2</v>
      </c>
    </row>
    <row r="141" spans="1:11" x14ac:dyDescent="0.2">
      <c r="A141" s="6">
        <v>44470</v>
      </c>
      <c r="B141">
        <f>DATOS_BRUTOS!M141-DATOS_BRUTOS!M140</f>
        <v>1.0534158143379102E-2</v>
      </c>
      <c r="C141" s="5">
        <v>16590.361000000001</v>
      </c>
      <c r="D141">
        <v>-2.4564020333333332</v>
      </c>
      <c r="E141">
        <v>0.11452939666666667</v>
      </c>
      <c r="F141">
        <v>-0.86666666666666625</v>
      </c>
      <c r="G141" s="5">
        <v>-599.03074999999808</v>
      </c>
      <c r="H141">
        <v>76.314040783819365</v>
      </c>
      <c r="I141">
        <v>144576026</v>
      </c>
      <c r="J141">
        <f t="shared" si="4"/>
        <v>9.7165771430441872</v>
      </c>
      <c r="K141">
        <f t="shared" si="5"/>
        <v>7.0314111781826227E-3</v>
      </c>
    </row>
    <row r="142" spans="1:11" x14ac:dyDescent="0.2">
      <c r="A142" s="6">
        <v>44562</v>
      </c>
      <c r="B142">
        <f>DATOS_BRUTOS!M142-DATOS_BRUTOS!M141</f>
        <v>3.6331407577527841E-4</v>
      </c>
      <c r="C142" s="5">
        <v>16116.797</v>
      </c>
      <c r="D142">
        <v>-2.6263916533333336</v>
      </c>
      <c r="E142">
        <v>0.36939263666666666</v>
      </c>
      <c r="F142">
        <v>-0.3666666666666667</v>
      </c>
      <c r="G142" s="5">
        <v>-498.87824999999975</v>
      </c>
      <c r="H142">
        <v>76.517567873019075</v>
      </c>
      <c r="I142">
        <v>138827252</v>
      </c>
      <c r="J142">
        <f t="shared" si="4"/>
        <v>9.6876172990472291</v>
      </c>
      <c r="K142">
        <f t="shared" si="5"/>
        <v>1.0534158143379102E-2</v>
      </c>
    </row>
    <row r="143" spans="1:11" x14ac:dyDescent="0.2">
      <c r="A143" s="6">
        <v>44652</v>
      </c>
      <c r="B143">
        <f>DATOS_BRUTOS!M143-DATOS_BRUTOS!M142</f>
        <v>2.1688999847899737E-3</v>
      </c>
      <c r="C143" s="5">
        <v>16042.803</v>
      </c>
      <c r="D143">
        <v>-3.5028774733333332</v>
      </c>
      <c r="E143">
        <v>1.0594638466666668</v>
      </c>
      <c r="F143">
        <v>-0.20000000000000018</v>
      </c>
      <c r="G143" s="5">
        <v>-339.74924999999894</v>
      </c>
      <c r="H143">
        <v>75.866874967087355</v>
      </c>
      <c r="I143">
        <v>135290994</v>
      </c>
      <c r="J143">
        <f t="shared" si="4"/>
        <v>9.6830156167768351</v>
      </c>
      <c r="K143">
        <f t="shared" si="5"/>
        <v>3.6331407577527841E-4</v>
      </c>
    </row>
    <row r="144" spans="1:11" x14ac:dyDescent="0.2">
      <c r="A144" s="6">
        <v>44743</v>
      </c>
      <c r="B144">
        <f>DATOS_BRUTOS!M144-DATOS_BRUTOS!M143</f>
        <v>3.7726630587453513E-3</v>
      </c>
      <c r="C144" s="5">
        <v>16301.966</v>
      </c>
      <c r="D144">
        <v>-1.8210292033333335</v>
      </c>
      <c r="E144">
        <v>1.04068297</v>
      </c>
      <c r="F144">
        <v>-0.10000000000000009</v>
      </c>
      <c r="G144" s="5">
        <v>38.98424999999952</v>
      </c>
      <c r="H144">
        <v>74.299648095383418</v>
      </c>
      <c r="I144">
        <v>136397142</v>
      </c>
      <c r="J144">
        <f t="shared" si="4"/>
        <v>9.6990409930185635</v>
      </c>
      <c r="K144">
        <f t="shared" si="5"/>
        <v>2.1688999847899737E-3</v>
      </c>
    </row>
    <row r="145" spans="1:11" x14ac:dyDescent="0.2">
      <c r="A145" s="6">
        <v>44835</v>
      </c>
      <c r="B145">
        <f>DATOS_BRUTOS!M145-DATOS_BRUTOS!M144</f>
        <v>3.8226769707652153E-3</v>
      </c>
      <c r="C145" s="5">
        <v>16452.852999999999</v>
      </c>
      <c r="D145">
        <v>0.36824243000000001</v>
      </c>
      <c r="E145">
        <v>1.7680567433333334</v>
      </c>
      <c r="F145">
        <v>3.3333333333333215E-2</v>
      </c>
      <c r="G145" s="5">
        <v>224.24825000000055</v>
      </c>
      <c r="H145">
        <v>73.194183124201942</v>
      </c>
      <c r="I145">
        <v>139528942</v>
      </c>
      <c r="J145">
        <f t="shared" si="4"/>
        <v>9.7082541758059229</v>
      </c>
      <c r="K145">
        <f t="shared" si="5"/>
        <v>3.7726630587453513E-3</v>
      </c>
    </row>
    <row r="146" spans="1:11" x14ac:dyDescent="0.2">
      <c r="A146" s="6">
        <v>44927</v>
      </c>
      <c r="B146">
        <f>DATOS_BRUTOS!M146-DATOS_BRUTOS!M145</f>
        <v>1.2787634845979667E-2</v>
      </c>
      <c r="C146" s="5">
        <v>16885.337</v>
      </c>
      <c r="D146">
        <v>1.7966247233333332</v>
      </c>
      <c r="E146">
        <v>1.7543124999999999</v>
      </c>
      <c r="F146">
        <v>-3.3333333333333215E-2</v>
      </c>
      <c r="G146" s="5">
        <v>464.59724999999889</v>
      </c>
      <c r="H146">
        <v>71.681998986034515</v>
      </c>
      <c r="I146">
        <v>144835855</v>
      </c>
      <c r="J146">
        <f t="shared" si="4"/>
        <v>9.7342008911635851</v>
      </c>
      <c r="K146">
        <f t="shared" si="5"/>
        <v>3.8226769707652153E-3</v>
      </c>
    </row>
    <row r="147" spans="1:11" x14ac:dyDescent="0.2">
      <c r="A147" s="6">
        <v>45017</v>
      </c>
      <c r="B147">
        <f>DATOS_BRUTOS!M147-DATOS_BRUTOS!M146</f>
        <v>6.051392196535943E-3</v>
      </c>
      <c r="C147" s="5">
        <v>17025.223000000002</v>
      </c>
      <c r="D147">
        <v>3.4671780633333333</v>
      </c>
      <c r="E147">
        <v>1.3471496633333331</v>
      </c>
      <c r="F147">
        <v>0</v>
      </c>
      <c r="G147" s="5">
        <v>358.87825000000157</v>
      </c>
      <c r="H147">
        <v>69.941543378752854</v>
      </c>
      <c r="I147">
        <v>143599138</v>
      </c>
      <c r="J147">
        <f t="shared" si="4"/>
        <v>9.742451229316659</v>
      </c>
      <c r="K147">
        <f t="shared" si="5"/>
        <v>1.2787634845979667E-2</v>
      </c>
    </row>
    <row r="148" spans="1:11" x14ac:dyDescent="0.2">
      <c r="A148" s="6">
        <v>45108</v>
      </c>
      <c r="B148">
        <f>DATOS_BRUTOS!M148-DATOS_BRUTOS!M147</f>
        <v>4.7671934077104794E-3</v>
      </c>
      <c r="C148" s="5">
        <v>17082.815999999999</v>
      </c>
      <c r="D148">
        <v>4.2445577466666666</v>
      </c>
      <c r="E148">
        <v>1.5759500766666665</v>
      </c>
      <c r="F148">
        <v>0.1333333333333333</v>
      </c>
      <c r="G148" s="5">
        <v>221.25875000000087</v>
      </c>
      <c r="H148">
        <v>68.52962630949871</v>
      </c>
      <c r="I148">
        <v>147872412</v>
      </c>
      <c r="J148">
        <f t="shared" si="4"/>
        <v>9.745828324947178</v>
      </c>
      <c r="K148">
        <f t="shared" si="5"/>
        <v>6.051392196535943E-3</v>
      </c>
    </row>
    <row r="149" spans="1:11" x14ac:dyDescent="0.2">
      <c r="A149" s="6">
        <v>45200</v>
      </c>
      <c r="B149">
        <f>DATOS_BRUTOS!M149-DATOS_BRUTOS!M148</f>
        <v>7.8557893539734636E-3</v>
      </c>
      <c r="C149" s="5">
        <v>17216.52</v>
      </c>
      <c r="D149">
        <v>2.5306746600000003</v>
      </c>
      <c r="E149">
        <v>1.9525628233333334</v>
      </c>
      <c r="F149">
        <v>0.13333333333333286</v>
      </c>
      <c r="G149" s="5">
        <v>164.0460000000021</v>
      </c>
      <c r="H149">
        <v>68.012996037580905</v>
      </c>
      <c r="I149">
        <v>154347745</v>
      </c>
      <c r="J149">
        <f t="shared" si="4"/>
        <v>9.7536246669663313</v>
      </c>
      <c r="K149">
        <f t="shared" si="5"/>
        <v>4.7671934077104794E-3</v>
      </c>
    </row>
    <row r="150" spans="1:11" x14ac:dyDescent="0.2">
      <c r="A150" s="6">
        <v>45292</v>
      </c>
      <c r="B150">
        <f>DATOS_BRUTOS!M150-DATOS_BRUTOS!M149</f>
        <v>6.9897048450151544E-3</v>
      </c>
      <c r="C150" s="5">
        <v>17451.795999999998</v>
      </c>
      <c r="D150">
        <v>2.6460952500000001</v>
      </c>
      <c r="E150">
        <v>1.7412212766666666</v>
      </c>
      <c r="F150">
        <v>3.3333333333334103E-2</v>
      </c>
      <c r="G150" s="5">
        <v>257.70724999999584</v>
      </c>
      <c r="H150">
        <v>67.324229778230645</v>
      </c>
      <c r="I150">
        <v>157319013</v>
      </c>
      <c r="J150">
        <f t="shared" si="4"/>
        <v>9.7671978449705055</v>
      </c>
      <c r="K150">
        <f t="shared" si="5"/>
        <v>7.8557893539734636E-3</v>
      </c>
    </row>
    <row r="151" spans="1:11" x14ac:dyDescent="0.2">
      <c r="A151" s="6">
        <v>45383</v>
      </c>
      <c r="B151">
        <f>DATOS_BRUTOS!M151-DATOS_BRUTOS!M150</f>
        <v>5.8887858461105225E-3</v>
      </c>
      <c r="C151" s="5">
        <v>17497.190999999999</v>
      </c>
      <c r="D151">
        <v>2.1184687600000003</v>
      </c>
      <c r="E151">
        <v>2.0137198166666668</v>
      </c>
      <c r="F151">
        <v>0.16666666666666652</v>
      </c>
      <c r="G151" s="5">
        <v>185.1102499999979</v>
      </c>
      <c r="H151">
        <v>0</v>
      </c>
      <c r="I151">
        <v>161382988</v>
      </c>
      <c r="J151">
        <f t="shared" si="4"/>
        <v>9.7697956327420936</v>
      </c>
      <c r="K151">
        <f t="shared" si="5"/>
        <v>6.9897048450151544E-3</v>
      </c>
    </row>
    <row r="152" spans="1:11" x14ac:dyDescent="0.2">
      <c r="A152" s="6">
        <v>45474</v>
      </c>
      <c r="B152">
        <f>DATOS_BRUTOS!M152-DATOS_BRUTOS!M151</f>
        <v>9.0402468284853654E-3</v>
      </c>
      <c r="C152" s="5">
        <v>17506.381000000001</v>
      </c>
      <c r="D152">
        <v>2.4997732466666669</v>
      </c>
      <c r="E152">
        <v>1.7647221533333333</v>
      </c>
      <c r="F152">
        <v>0.16666666666666696</v>
      </c>
      <c r="G152" s="5">
        <v>88.408999999999651</v>
      </c>
      <c r="H152">
        <v>0</v>
      </c>
      <c r="I152">
        <v>161923114</v>
      </c>
      <c r="J152">
        <f t="shared" si="4"/>
        <v>9.7703207220221913</v>
      </c>
      <c r="K152">
        <f t="shared" si="5"/>
        <v>5.8887858461105225E-3</v>
      </c>
    </row>
    <row r="153" spans="1:11" x14ac:dyDescent="0.2">
      <c r="A153" s="6">
        <v>45566</v>
      </c>
      <c r="B153">
        <f>DATOS_BRUTOS!M153-DATOS_BRUTOS!M152</f>
        <v>8.9934766527868248E-3</v>
      </c>
      <c r="C153" s="5">
        <v>17614.208999999999</v>
      </c>
      <c r="D153">
        <v>1.9533247533333331</v>
      </c>
      <c r="E153">
        <v>1.7543113366666667</v>
      </c>
      <c r="F153">
        <v>-3.3333333333333215E-2</v>
      </c>
      <c r="G153" s="5">
        <v>96.814750000001368</v>
      </c>
      <c r="H153">
        <v>0</v>
      </c>
      <c r="I153">
        <v>160227796</v>
      </c>
      <c r="J153">
        <f t="shared" si="4"/>
        <v>9.776461184856494</v>
      </c>
      <c r="K153">
        <f t="shared" si="5"/>
        <v>9.0402468284853654E-3</v>
      </c>
    </row>
    <row r="154" spans="1:11" x14ac:dyDescent="0.2">
      <c r="A154" s="6">
        <v>45658</v>
      </c>
      <c r="B154">
        <f>DATOS_BRUTOS!M154-DATOS_BRUTOS!M153</f>
        <v>1.6730926900159204E-3</v>
      </c>
      <c r="C154" s="5">
        <v>17721.929</v>
      </c>
      <c r="D154">
        <v>1.7431407333333333</v>
      </c>
      <c r="E154">
        <v>1.9807988433333332</v>
      </c>
      <c r="F154">
        <v>-3.3333333333333215E-2</v>
      </c>
      <c r="G154" s="5">
        <v>137.00149999999849</v>
      </c>
      <c r="H154">
        <v>0</v>
      </c>
      <c r="I154">
        <v>167260708</v>
      </c>
      <c r="J154">
        <f t="shared" si="4"/>
        <v>9.7825580782793935</v>
      </c>
      <c r="K154">
        <f t="shared" si="5"/>
        <v>8.9934766527868248E-3</v>
      </c>
    </row>
    <row r="155" spans="1:11" x14ac:dyDescent="0.2">
      <c r="A155" s="6">
        <v>45748</v>
      </c>
      <c r="B155">
        <f>DATOS_BRUTOS!M155-DATOS_BRUTOS!M154</f>
        <v>3.6911283502956138E-3</v>
      </c>
      <c r="C155" s="5">
        <v>17851.463</v>
      </c>
      <c r="D155">
        <v>1.2655641666666666</v>
      </c>
      <c r="E155">
        <v>1.7352900099999999</v>
      </c>
      <c r="F155">
        <v>6.666666666666643E-2</v>
      </c>
      <c r="G155" s="5">
        <v>177.96749999999884</v>
      </c>
      <c r="H155">
        <v>0</v>
      </c>
      <c r="J155">
        <f t="shared" si="4"/>
        <v>9.7898407446334978</v>
      </c>
      <c r="K155">
        <f t="shared" si="5"/>
        <v>1.6730926900159204E-3</v>
      </c>
    </row>
    <row r="156" spans="1:11" x14ac:dyDescent="0.2">
      <c r="H1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B446-310A-4C8C-9A76-D0DECC508407}">
  <dimension ref="A1:R155"/>
  <sheetViews>
    <sheetView workbookViewId="0">
      <selection activeCell="O3" sqref="O3"/>
    </sheetView>
  </sheetViews>
  <sheetFormatPr baseColWidth="10" defaultRowHeight="15" x14ac:dyDescent="0.2"/>
  <cols>
    <col min="1" max="1" width="11.5"/>
    <col min="6" max="6" width="15" bestFit="1" customWidth="1"/>
  </cols>
  <sheetData>
    <row r="1" spans="1:1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20</v>
      </c>
    </row>
    <row r="2" spans="1:18" x14ac:dyDescent="0.2">
      <c r="A2" s="6">
        <v>31778</v>
      </c>
      <c r="B2" s="5">
        <v>6516.4650000000001</v>
      </c>
      <c r="C2">
        <v>2.6875294000000003</v>
      </c>
      <c r="D2">
        <v>3.5793108433333329</v>
      </c>
      <c r="E2">
        <v>6.5999999999999988</v>
      </c>
      <c r="F2" s="2">
        <v>2748366666666.6665</v>
      </c>
      <c r="H2" s="5">
        <v>8986.3670000000002</v>
      </c>
      <c r="I2" s="4">
        <v>63.2</v>
      </c>
      <c r="J2">
        <v>5679.3839440000002</v>
      </c>
      <c r="K2" s="5">
        <v>111.8</v>
      </c>
      <c r="L2">
        <v>24.58288610614192</v>
      </c>
      <c r="M2">
        <f>LN(J2)</f>
        <v>8.6445980452695448</v>
      </c>
      <c r="O2">
        <f>F2/(10^9)</f>
        <v>2748.3666666666663</v>
      </c>
      <c r="P2">
        <f>O2/K2</f>
        <v>24.582886106141917</v>
      </c>
      <c r="R2" s="5">
        <v>111.8</v>
      </c>
    </row>
    <row r="3" spans="1:18" x14ac:dyDescent="0.2">
      <c r="A3" s="6">
        <v>31868</v>
      </c>
      <c r="B3" s="5">
        <v>6449.165</v>
      </c>
      <c r="C3">
        <v>2.4890473333333336</v>
      </c>
      <c r="D3">
        <v>4.1507754100000005</v>
      </c>
      <c r="E3">
        <v>6.2666666666666666</v>
      </c>
      <c r="F3" s="2">
        <v>2771733333333.3335</v>
      </c>
      <c r="H3" s="5">
        <v>9083.2559999999994</v>
      </c>
      <c r="I3" s="4">
        <v>63.5</v>
      </c>
      <c r="J3">
        <v>5767.8675599999997</v>
      </c>
      <c r="K3" s="5">
        <v>113.06699999999999</v>
      </c>
      <c r="L3">
        <v>24.514078673117123</v>
      </c>
      <c r="M3">
        <f t="shared" ref="M3:M66" si="0">LN(J3)</f>
        <v>8.6600577175361249</v>
      </c>
      <c r="O3">
        <f t="shared" ref="O3:O66" si="1">F3/10^9</f>
        <v>2771.7333333333336</v>
      </c>
      <c r="P3">
        <f t="shared" ref="P3:P66" si="2">O3/K3</f>
        <v>24.514078673117123</v>
      </c>
      <c r="R3" s="5">
        <v>113.06699999999999</v>
      </c>
    </row>
    <row r="4" spans="1:18" x14ac:dyDescent="0.2">
      <c r="A4" s="6">
        <v>31959</v>
      </c>
      <c r="B4" s="5">
        <v>6565.0519999999997</v>
      </c>
      <c r="C4">
        <v>2.4072695666666668</v>
      </c>
      <c r="D4">
        <v>4.4539868633333333</v>
      </c>
      <c r="E4">
        <v>6</v>
      </c>
      <c r="F4" s="2">
        <v>2788900000000</v>
      </c>
      <c r="H4" s="5">
        <v>9162.0239999999994</v>
      </c>
      <c r="I4" s="4">
        <v>63.8</v>
      </c>
      <c r="J4">
        <v>5845.3713119999993</v>
      </c>
      <c r="K4" s="5">
        <v>114.267</v>
      </c>
      <c r="L4">
        <v>24.406871625228632</v>
      </c>
      <c r="M4">
        <f t="shared" si="0"/>
        <v>8.6734053983212984</v>
      </c>
      <c r="O4">
        <f t="shared" si="1"/>
        <v>2788.9</v>
      </c>
      <c r="P4">
        <f t="shared" si="2"/>
        <v>24.406871625228632</v>
      </c>
      <c r="R4" s="5">
        <v>114.267</v>
      </c>
    </row>
    <row r="5" spans="1:18" x14ac:dyDescent="0.2">
      <c r="A5" s="6">
        <v>32051</v>
      </c>
      <c r="B5" s="5">
        <v>6659.7420000000002</v>
      </c>
      <c r="C5">
        <v>3.1668136333333337</v>
      </c>
      <c r="D5">
        <v>4.6879830100000008</v>
      </c>
      <c r="E5">
        <v>5.833333333333333</v>
      </c>
      <c r="F5" s="2">
        <v>2820033333333.3335</v>
      </c>
      <c r="G5">
        <v>17442719</v>
      </c>
      <c r="H5" s="5">
        <v>9319.3320000000003</v>
      </c>
      <c r="I5" s="4">
        <v>62.9</v>
      </c>
      <c r="J5">
        <v>5861.8598279999997</v>
      </c>
      <c r="K5" s="5">
        <v>115.333</v>
      </c>
      <c r="L5">
        <v>24.451226737649531</v>
      </c>
      <c r="M5">
        <f t="shared" si="0"/>
        <v>8.6762222090095076</v>
      </c>
      <c r="N5" s="5">
        <f>AVERAGE(B2:B5)</f>
        <v>6547.6059999999998</v>
      </c>
      <c r="O5">
        <f t="shared" si="1"/>
        <v>2820.0333333333333</v>
      </c>
      <c r="P5">
        <f t="shared" si="2"/>
        <v>24.451226737649531</v>
      </c>
      <c r="R5" s="5">
        <v>115.333</v>
      </c>
    </row>
    <row r="6" spans="1:18" x14ac:dyDescent="0.2">
      <c r="A6" s="6">
        <v>32143</v>
      </c>
      <c r="B6" s="5">
        <v>6769.32</v>
      </c>
      <c r="C6">
        <v>2.6763224999999999</v>
      </c>
      <c r="D6">
        <v>4.2488309166666669</v>
      </c>
      <c r="E6">
        <v>5.7</v>
      </c>
      <c r="F6" s="2">
        <v>2869500000000</v>
      </c>
      <c r="G6">
        <v>17926176</v>
      </c>
      <c r="H6" s="5">
        <v>9367.5020000000004</v>
      </c>
      <c r="I6" s="4">
        <v>63.7</v>
      </c>
      <c r="J6">
        <v>5967.098774</v>
      </c>
      <c r="K6" s="5">
        <v>116.233</v>
      </c>
      <c r="L6">
        <v>24.687481180043534</v>
      </c>
      <c r="M6">
        <f t="shared" si="0"/>
        <v>8.694016120761983</v>
      </c>
      <c r="N6" s="5">
        <f>AVERAGE(B3:B6)</f>
        <v>6610.8197500000006</v>
      </c>
      <c r="O6">
        <f t="shared" si="1"/>
        <v>2869.5</v>
      </c>
      <c r="P6">
        <f t="shared" si="2"/>
        <v>24.687481180043534</v>
      </c>
      <c r="R6" s="5">
        <v>116.233</v>
      </c>
    </row>
    <row r="7" spans="1:18" x14ac:dyDescent="0.2">
      <c r="A7" s="6">
        <v>32234</v>
      </c>
      <c r="B7" s="5">
        <v>6846.7430000000004</v>
      </c>
      <c r="C7">
        <v>2.9466913333333338</v>
      </c>
      <c r="D7">
        <v>4.5212363033333327</v>
      </c>
      <c r="E7">
        <v>5.4666666666666659</v>
      </c>
      <c r="F7" s="2">
        <v>2925033333333.3335</v>
      </c>
      <c r="G7">
        <v>18336577</v>
      </c>
      <c r="H7" s="5">
        <v>9490.5939999999991</v>
      </c>
      <c r="I7" s="4">
        <v>63.4</v>
      </c>
      <c r="J7">
        <v>6017.036595999999</v>
      </c>
      <c r="K7" s="5">
        <v>117.56699999999999</v>
      </c>
      <c r="L7">
        <v>24.879713978695836</v>
      </c>
      <c r="M7">
        <f t="shared" si="0"/>
        <v>8.7023501573025701</v>
      </c>
      <c r="N7" s="5">
        <f t="shared" ref="N6:N69" si="3">AVERAGE(B4:B7)</f>
        <v>6710.2142500000009</v>
      </c>
      <c r="O7">
        <f t="shared" si="1"/>
        <v>2925.0333333333333</v>
      </c>
      <c r="P7">
        <f t="shared" si="2"/>
        <v>24.879713978695836</v>
      </c>
      <c r="R7" s="5">
        <v>117.56699999999999</v>
      </c>
    </row>
    <row r="8" spans="1:18" x14ac:dyDescent="0.2">
      <c r="A8" s="6">
        <v>32325</v>
      </c>
      <c r="B8" s="5">
        <v>6916.3909999999996</v>
      </c>
      <c r="C8">
        <v>3.0389479666666666</v>
      </c>
      <c r="D8">
        <v>4.5619859399999996</v>
      </c>
      <c r="E8">
        <v>5.4666666666666659</v>
      </c>
      <c r="F8" s="2">
        <v>2952033333333.3335</v>
      </c>
      <c r="G8">
        <v>18643587</v>
      </c>
      <c r="H8" s="5">
        <v>9546.2060000000001</v>
      </c>
      <c r="I8" s="4">
        <v>63.6</v>
      </c>
      <c r="J8">
        <v>6071.3870160000006</v>
      </c>
      <c r="K8" s="5">
        <v>119</v>
      </c>
      <c r="L8">
        <v>24.807002801120451</v>
      </c>
      <c r="M8">
        <f t="shared" si="0"/>
        <v>8.7113423614102423</v>
      </c>
      <c r="N8" s="5">
        <f t="shared" si="3"/>
        <v>6798.049</v>
      </c>
      <c r="O8">
        <f t="shared" si="1"/>
        <v>2952.0333333333333</v>
      </c>
      <c r="P8">
        <f t="shared" si="2"/>
        <v>24.807002801120447</v>
      </c>
      <c r="R8" s="5">
        <v>119</v>
      </c>
    </row>
    <row r="9" spans="1:18" x14ac:dyDescent="0.2">
      <c r="A9" s="6">
        <v>32417</v>
      </c>
      <c r="B9" s="5">
        <v>6982.3040000000001</v>
      </c>
      <c r="C9">
        <v>3.1446435333333334</v>
      </c>
      <c r="D9">
        <v>4.4795516033333334</v>
      </c>
      <c r="E9">
        <v>5.333333333333333</v>
      </c>
      <c r="F9" s="2">
        <v>2977900000000</v>
      </c>
      <c r="G9">
        <v>19122046</v>
      </c>
      <c r="H9" s="5">
        <v>9673.4050000000007</v>
      </c>
      <c r="I9" s="4">
        <v>63.6</v>
      </c>
      <c r="J9">
        <v>6152.2855800000007</v>
      </c>
      <c r="K9" s="5">
        <v>120.3</v>
      </c>
      <c r="L9">
        <v>24.753948462177888</v>
      </c>
      <c r="M9">
        <f t="shared" si="0"/>
        <v>8.7245789307842774</v>
      </c>
      <c r="N9" s="5">
        <f t="shared" si="3"/>
        <v>6878.6894999999995</v>
      </c>
      <c r="O9">
        <f t="shared" si="1"/>
        <v>2977.9</v>
      </c>
      <c r="P9">
        <f t="shared" si="2"/>
        <v>24.753948462177888</v>
      </c>
      <c r="R9" s="5">
        <v>120.3</v>
      </c>
    </row>
    <row r="10" spans="1:18" x14ac:dyDescent="0.2">
      <c r="A10" s="6">
        <v>32509</v>
      </c>
      <c r="B10" s="5">
        <v>7057.8010000000004</v>
      </c>
      <c r="C10">
        <v>3.3764940666666665</v>
      </c>
      <c r="D10">
        <v>4.856265266666667</v>
      </c>
      <c r="E10">
        <v>5.2</v>
      </c>
      <c r="F10" s="2">
        <v>2994533333333.3335</v>
      </c>
      <c r="G10">
        <v>19528780</v>
      </c>
      <c r="H10" s="5">
        <v>9771.7250000000004</v>
      </c>
      <c r="I10" s="4">
        <v>63.3</v>
      </c>
      <c r="J10">
        <v>6185.5019250000005</v>
      </c>
      <c r="K10" s="5">
        <v>121.667</v>
      </c>
      <c r="L10">
        <v>24.612535308122446</v>
      </c>
      <c r="M10">
        <f t="shared" si="0"/>
        <v>8.7299634335145431</v>
      </c>
      <c r="N10" s="5">
        <f t="shared" si="3"/>
        <v>6950.8097500000003</v>
      </c>
      <c r="O10">
        <f t="shared" si="1"/>
        <v>2994.5333333333333</v>
      </c>
      <c r="P10">
        <f t="shared" si="2"/>
        <v>24.612535308122443</v>
      </c>
      <c r="R10" s="5">
        <v>121.667</v>
      </c>
    </row>
    <row r="11" spans="1:18" x14ac:dyDescent="0.2">
      <c r="A11" s="6">
        <v>32599</v>
      </c>
      <c r="B11" s="5">
        <v>7034.6220000000003</v>
      </c>
      <c r="C11">
        <v>4.3389702999999997</v>
      </c>
      <c r="D11">
        <v>4.6372927233333341</v>
      </c>
      <c r="E11">
        <v>5.2333333333333334</v>
      </c>
      <c r="F11" s="2">
        <v>3015166666666.6665</v>
      </c>
      <c r="G11">
        <v>19910435</v>
      </c>
      <c r="H11" s="5">
        <v>9846.2929999999997</v>
      </c>
      <c r="I11" s="4">
        <v>63.3</v>
      </c>
      <c r="J11">
        <v>6232.703469</v>
      </c>
      <c r="K11" s="5">
        <v>123.633</v>
      </c>
      <c r="L11">
        <v>24.388040949153272</v>
      </c>
      <c r="M11">
        <f t="shared" si="0"/>
        <v>8.7375654613148885</v>
      </c>
      <c r="N11" s="5">
        <f t="shared" si="3"/>
        <v>6997.7794999999996</v>
      </c>
      <c r="O11">
        <f t="shared" si="1"/>
        <v>3015.1666666666665</v>
      </c>
      <c r="P11">
        <f t="shared" si="2"/>
        <v>24.388040949153272</v>
      </c>
      <c r="R11" s="5">
        <v>123.633</v>
      </c>
    </row>
    <row r="12" spans="1:18" x14ac:dyDescent="0.2">
      <c r="A12" s="6">
        <v>32690</v>
      </c>
      <c r="B12" s="5">
        <v>7080.9</v>
      </c>
      <c r="C12">
        <v>3.8685506000000003</v>
      </c>
      <c r="D12">
        <v>4.0063667966666658</v>
      </c>
      <c r="E12">
        <v>5.2333333333333334</v>
      </c>
      <c r="F12" s="2">
        <v>3073100000000</v>
      </c>
      <c r="G12">
        <v>20439984</v>
      </c>
      <c r="H12" s="5">
        <v>9919.2279999999992</v>
      </c>
      <c r="I12" s="4">
        <v>63.4</v>
      </c>
      <c r="J12">
        <v>6288.7905519999995</v>
      </c>
      <c r="K12" s="5">
        <v>124.6</v>
      </c>
      <c r="L12">
        <v>24.663723916532906</v>
      </c>
      <c r="M12">
        <f t="shared" si="0"/>
        <v>8.7465240501250285</v>
      </c>
      <c r="N12" s="5">
        <f t="shared" si="3"/>
        <v>7038.9067500000001</v>
      </c>
      <c r="O12">
        <f t="shared" si="1"/>
        <v>3073.1</v>
      </c>
      <c r="P12">
        <f t="shared" si="2"/>
        <v>24.663723916532906</v>
      </c>
      <c r="R12" s="5">
        <v>124.6</v>
      </c>
    </row>
    <row r="13" spans="1:18" x14ac:dyDescent="0.2">
      <c r="A13" s="6">
        <v>32782</v>
      </c>
      <c r="B13" s="5">
        <v>7141.7740000000003</v>
      </c>
      <c r="C13">
        <v>3.9063789999999998</v>
      </c>
      <c r="D13">
        <v>4.1189947033333327</v>
      </c>
      <c r="E13">
        <v>5.3666666666666671</v>
      </c>
      <c r="F13" s="2">
        <v>3133300000000</v>
      </c>
      <c r="G13">
        <v>20817953</v>
      </c>
      <c r="H13" s="5">
        <v>9938.7669999999998</v>
      </c>
      <c r="I13" s="4">
        <v>63.6</v>
      </c>
      <c r="J13">
        <v>6321.0558120000005</v>
      </c>
      <c r="K13" s="5">
        <v>125.867</v>
      </c>
      <c r="L13">
        <v>24.893737039891313</v>
      </c>
      <c r="M13">
        <f t="shared" si="0"/>
        <v>8.7516415320488843</v>
      </c>
      <c r="N13" s="5">
        <f t="shared" si="3"/>
        <v>7078.7742500000004</v>
      </c>
      <c r="O13">
        <f t="shared" si="1"/>
        <v>3133.3</v>
      </c>
      <c r="P13">
        <f t="shared" si="2"/>
        <v>24.893737039891313</v>
      </c>
      <c r="R13" s="5">
        <v>125.867</v>
      </c>
    </row>
    <row r="14" spans="1:18" x14ac:dyDescent="0.2">
      <c r="A14" s="6">
        <v>32874</v>
      </c>
      <c r="B14" s="5">
        <v>7198.9880000000003</v>
      </c>
      <c r="C14">
        <v>3.8737188000000002</v>
      </c>
      <c r="D14">
        <v>4.3488394700000006</v>
      </c>
      <c r="E14">
        <v>5.3</v>
      </c>
      <c r="F14" s="2">
        <v>3178700000000</v>
      </c>
      <c r="G14">
        <v>20867937</v>
      </c>
      <c r="H14" s="5">
        <v>10047.386</v>
      </c>
      <c r="I14" s="4">
        <v>63.6</v>
      </c>
      <c r="J14">
        <v>6390.1374960000012</v>
      </c>
      <c r="K14" s="5">
        <v>128.03299999999999</v>
      </c>
      <c r="L14">
        <v>24.827192989307449</v>
      </c>
      <c r="M14">
        <f t="shared" si="0"/>
        <v>8.7625110645109778</v>
      </c>
      <c r="N14" s="5">
        <f t="shared" si="3"/>
        <v>7114.0710000000008</v>
      </c>
      <c r="O14">
        <f t="shared" si="1"/>
        <v>3178.7</v>
      </c>
      <c r="P14">
        <f t="shared" si="2"/>
        <v>24.827192989307445</v>
      </c>
      <c r="R14" s="5">
        <v>128.03299999999999</v>
      </c>
    </row>
    <row r="15" spans="1:18" x14ac:dyDescent="0.2">
      <c r="A15" s="6">
        <v>32964</v>
      </c>
      <c r="B15" s="5">
        <v>7252.12</v>
      </c>
      <c r="C15">
        <v>4.1856779666666659</v>
      </c>
      <c r="D15">
        <v>4.5799449566666661</v>
      </c>
      <c r="E15">
        <v>5.333333333333333</v>
      </c>
      <c r="F15" s="2">
        <v>3205300000000</v>
      </c>
      <c r="G15">
        <v>21150025</v>
      </c>
      <c r="H15" s="5">
        <v>10083.855</v>
      </c>
      <c r="I15" s="4">
        <v>63.5</v>
      </c>
      <c r="J15">
        <v>6403.2479249999997</v>
      </c>
      <c r="K15" s="5">
        <v>129.30000000000001</v>
      </c>
      <c r="L15">
        <v>24.789636504253671</v>
      </c>
      <c r="M15">
        <f t="shared" si="0"/>
        <v>8.7645606289003855</v>
      </c>
      <c r="N15" s="5">
        <f t="shared" si="3"/>
        <v>7168.4454999999998</v>
      </c>
      <c r="O15">
        <f t="shared" si="1"/>
        <v>3205.3</v>
      </c>
      <c r="P15">
        <f t="shared" si="2"/>
        <v>24.789636504253671</v>
      </c>
      <c r="R15" s="5">
        <v>129.30000000000001</v>
      </c>
    </row>
    <row r="16" spans="1:18" x14ac:dyDescent="0.2">
      <c r="A16" s="6">
        <v>33055</v>
      </c>
      <c r="B16" s="5">
        <v>7253.0720000000001</v>
      </c>
      <c r="C16">
        <v>3.6816753333333332</v>
      </c>
      <c r="D16">
        <v>4.3036984233333326</v>
      </c>
      <c r="E16">
        <v>5.7</v>
      </c>
      <c r="F16" s="2">
        <v>3240366666666.6665</v>
      </c>
      <c r="G16">
        <v>21028278</v>
      </c>
      <c r="H16" s="5">
        <v>10090.569</v>
      </c>
      <c r="I16" s="4">
        <v>64</v>
      </c>
      <c r="J16">
        <v>6457.9641599999995</v>
      </c>
      <c r="K16" s="5">
        <v>131.53299999999999</v>
      </c>
      <c r="L16">
        <v>24.635389344625811</v>
      </c>
      <c r="M16">
        <f t="shared" si="0"/>
        <v>8.773069401597029</v>
      </c>
      <c r="N16" s="5">
        <f t="shared" si="3"/>
        <v>7211.4885000000004</v>
      </c>
      <c r="O16">
        <f t="shared" si="1"/>
        <v>3240.3666666666663</v>
      </c>
      <c r="P16">
        <f t="shared" si="2"/>
        <v>24.635389344625811</v>
      </c>
      <c r="R16" s="5">
        <v>131.53299999999999</v>
      </c>
    </row>
    <row r="17" spans="1:18" x14ac:dyDescent="0.2">
      <c r="A17" s="6">
        <v>33147</v>
      </c>
      <c r="B17" s="5">
        <v>7195.1450000000004</v>
      </c>
      <c r="C17">
        <v>2.2430903999999998</v>
      </c>
      <c r="D17">
        <v>4.0511048999999995</v>
      </c>
      <c r="E17">
        <v>6.1333333333333337</v>
      </c>
      <c r="F17" s="2">
        <v>3264566666666.6665</v>
      </c>
      <c r="G17">
        <v>21472372</v>
      </c>
      <c r="H17" s="5">
        <v>9998.7039999999997</v>
      </c>
      <c r="I17" s="4">
        <v>64.400000000000006</v>
      </c>
      <c r="J17">
        <v>6439.1653760000008</v>
      </c>
      <c r="K17" s="5">
        <v>133.767</v>
      </c>
      <c r="L17">
        <v>24.404873150079364</v>
      </c>
      <c r="M17">
        <f t="shared" si="0"/>
        <v>8.7701542106995944</v>
      </c>
      <c r="N17" s="5">
        <f t="shared" si="3"/>
        <v>7224.8312500000002</v>
      </c>
      <c r="O17">
        <f t="shared" si="1"/>
        <v>3264.5666666666666</v>
      </c>
      <c r="P17">
        <f t="shared" si="2"/>
        <v>24.404873150079368</v>
      </c>
      <c r="R17" s="5">
        <v>133.767</v>
      </c>
    </row>
    <row r="18" spans="1:18" x14ac:dyDescent="0.2">
      <c r="A18" s="6">
        <v>33239</v>
      </c>
      <c r="B18" s="5">
        <v>7217.2030000000004</v>
      </c>
      <c r="C18">
        <v>2.8422359666666668</v>
      </c>
      <c r="D18">
        <v>4.0019403833333334</v>
      </c>
      <c r="E18">
        <v>6.6000000000000005</v>
      </c>
      <c r="F18" s="2">
        <v>3304700000000</v>
      </c>
      <c r="G18">
        <v>21948773</v>
      </c>
      <c r="H18" s="5">
        <v>9951.9159999999993</v>
      </c>
      <c r="I18" s="4">
        <v>64.2</v>
      </c>
      <c r="J18">
        <v>6389.1300719999999</v>
      </c>
      <c r="K18" s="5">
        <v>134.767</v>
      </c>
      <c r="L18">
        <v>24.521581692847654</v>
      </c>
      <c r="M18">
        <f t="shared" si="0"/>
        <v>8.7623533991366944</v>
      </c>
      <c r="N18" s="5">
        <f t="shared" si="3"/>
        <v>7229.3850000000002</v>
      </c>
      <c r="O18">
        <f t="shared" si="1"/>
        <v>3304.7</v>
      </c>
      <c r="P18">
        <f t="shared" si="2"/>
        <v>24.521581692847654</v>
      </c>
      <c r="R18" s="5">
        <v>134.767</v>
      </c>
    </row>
    <row r="19" spans="1:18" x14ac:dyDescent="0.2">
      <c r="A19" s="6">
        <v>33329</v>
      </c>
      <c r="B19" s="5">
        <v>7271.4120000000003</v>
      </c>
      <c r="C19">
        <v>3.1769173666666664</v>
      </c>
      <c r="D19">
        <v>4.1157978899999996</v>
      </c>
      <c r="E19">
        <v>6.833333333333333</v>
      </c>
      <c r="F19" s="2">
        <v>3342433333333.3335</v>
      </c>
      <c r="G19">
        <v>22025596</v>
      </c>
      <c r="H19" s="5">
        <v>10029.51</v>
      </c>
      <c r="I19" s="4">
        <v>64.099999999999994</v>
      </c>
      <c r="J19">
        <v>6428.9159099999997</v>
      </c>
      <c r="K19" s="5">
        <v>135.56700000000001</v>
      </c>
      <c r="L19">
        <v>24.655213535250713</v>
      </c>
      <c r="M19">
        <f t="shared" si="0"/>
        <v>8.7685612042614647</v>
      </c>
      <c r="N19" s="5">
        <f t="shared" si="3"/>
        <v>7234.2080000000005</v>
      </c>
      <c r="O19">
        <f t="shared" si="1"/>
        <v>3342.4333333333334</v>
      </c>
      <c r="P19">
        <f t="shared" si="2"/>
        <v>24.655213535250713</v>
      </c>
      <c r="R19" s="5">
        <v>135.56700000000001</v>
      </c>
    </row>
    <row r="20" spans="1:18" x14ac:dyDescent="0.2">
      <c r="A20" s="6">
        <v>33420</v>
      </c>
      <c r="B20" s="5">
        <v>7299.3810000000003</v>
      </c>
      <c r="C20">
        <v>2.7331467000000003</v>
      </c>
      <c r="D20">
        <v>4.0802222300000004</v>
      </c>
      <c r="E20">
        <v>6.8666666666666671</v>
      </c>
      <c r="F20" s="2">
        <v>3355333333333.3335</v>
      </c>
      <c r="G20">
        <v>22364257</v>
      </c>
      <c r="H20" s="5">
        <v>10080.195</v>
      </c>
      <c r="I20" s="4">
        <v>64</v>
      </c>
      <c r="J20">
        <v>6451.3247999999994</v>
      </c>
      <c r="K20" s="5">
        <v>136.6</v>
      </c>
      <c r="L20">
        <v>24.563201561737433</v>
      </c>
      <c r="M20">
        <f t="shared" si="0"/>
        <v>8.7720407840479186</v>
      </c>
      <c r="N20" s="5">
        <f t="shared" si="3"/>
        <v>7245.7852500000008</v>
      </c>
      <c r="O20">
        <f t="shared" si="1"/>
        <v>3355.3333333333335</v>
      </c>
      <c r="P20">
        <f t="shared" si="2"/>
        <v>24.563201561737436</v>
      </c>
      <c r="R20" s="5">
        <v>136.6</v>
      </c>
    </row>
    <row r="21" spans="1:18" x14ac:dyDescent="0.2">
      <c r="A21" s="6">
        <v>33512</v>
      </c>
      <c r="B21" s="5">
        <v>7356.6790000000001</v>
      </c>
      <c r="C21">
        <v>1.9548262333333331</v>
      </c>
      <c r="D21">
        <v>3.53775108</v>
      </c>
      <c r="E21">
        <v>7.1000000000000005</v>
      </c>
      <c r="F21" s="2">
        <v>3365933333333.3335</v>
      </c>
      <c r="G21">
        <v>22953540</v>
      </c>
      <c r="H21" s="5">
        <v>10115.329</v>
      </c>
      <c r="I21" s="4">
        <v>63.9</v>
      </c>
      <c r="J21">
        <v>6463.6952309999997</v>
      </c>
      <c r="K21" s="5">
        <v>137.733</v>
      </c>
      <c r="L21">
        <v>24.438103674016638</v>
      </c>
      <c r="M21">
        <f t="shared" si="0"/>
        <v>8.7739564504198437</v>
      </c>
      <c r="N21" s="5">
        <f t="shared" si="3"/>
        <v>7286.1687500000007</v>
      </c>
      <c r="O21">
        <f t="shared" si="1"/>
        <v>3365.9333333333334</v>
      </c>
      <c r="P21">
        <f t="shared" si="2"/>
        <v>24.438103674016634</v>
      </c>
      <c r="R21" s="5">
        <v>137.733</v>
      </c>
    </row>
    <row r="22" spans="1:18" x14ac:dyDescent="0.2">
      <c r="A22" s="6">
        <v>33604</v>
      </c>
      <c r="B22" s="5">
        <v>7498.634</v>
      </c>
      <c r="C22">
        <v>1.4429441666666667</v>
      </c>
      <c r="D22">
        <v>3.4956996733333328</v>
      </c>
      <c r="E22">
        <v>7.3666666666666671</v>
      </c>
      <c r="F22" s="2">
        <v>3395033333333.3335</v>
      </c>
      <c r="G22">
        <v>22967781</v>
      </c>
      <c r="H22" s="5">
        <v>10236.434999999999</v>
      </c>
      <c r="I22" s="4">
        <v>64.400000000000006</v>
      </c>
      <c r="J22">
        <v>6592.2641400000002</v>
      </c>
      <c r="K22" s="5">
        <v>138.667</v>
      </c>
      <c r="L22">
        <v>24.483354607320656</v>
      </c>
      <c r="M22">
        <f t="shared" si="0"/>
        <v>8.7936521405680885</v>
      </c>
      <c r="N22" s="5">
        <f t="shared" si="3"/>
        <v>7356.5264999999999</v>
      </c>
      <c r="O22">
        <f t="shared" si="1"/>
        <v>3395.0333333333333</v>
      </c>
      <c r="P22">
        <f t="shared" si="2"/>
        <v>24.483354607320656</v>
      </c>
      <c r="R22" s="5">
        <v>138.667</v>
      </c>
    </row>
    <row r="23" spans="1:18" x14ac:dyDescent="0.2">
      <c r="A23" s="6">
        <v>33695</v>
      </c>
      <c r="B23" s="5">
        <v>7568.9549999999999</v>
      </c>
      <c r="C23">
        <v>1.4980973000000002</v>
      </c>
      <c r="D23">
        <v>3.7015354999999999</v>
      </c>
      <c r="E23">
        <v>7.6000000000000005</v>
      </c>
      <c r="F23" s="2">
        <v>3397233333333.3335</v>
      </c>
      <c r="G23">
        <v>23090254</v>
      </c>
      <c r="H23" s="5">
        <v>10347.429</v>
      </c>
      <c r="I23" s="4">
        <v>64.2</v>
      </c>
      <c r="J23">
        <v>6643.0494180000005</v>
      </c>
      <c r="K23" s="5">
        <v>139.733</v>
      </c>
      <c r="L23">
        <v>24.312319447326928</v>
      </c>
      <c r="M23">
        <f t="shared" si="0"/>
        <v>8.8013263867464069</v>
      </c>
      <c r="N23" s="5">
        <f t="shared" si="3"/>
        <v>7430.9122500000012</v>
      </c>
      <c r="O23">
        <f t="shared" si="1"/>
        <v>3397.2333333333336</v>
      </c>
      <c r="P23">
        <f t="shared" si="2"/>
        <v>24.312319447326928</v>
      </c>
      <c r="R23" s="5">
        <v>139.733</v>
      </c>
    </row>
    <row r="24" spans="1:18" x14ac:dyDescent="0.2">
      <c r="A24" s="6">
        <v>33786</v>
      </c>
      <c r="B24" s="5">
        <v>7601.7359999999999</v>
      </c>
      <c r="C24">
        <v>1.10201091</v>
      </c>
      <c r="D24">
        <v>3.1450881333333331</v>
      </c>
      <c r="E24">
        <v>7.6333333333333329</v>
      </c>
      <c r="F24" s="2">
        <v>3401000000000</v>
      </c>
      <c r="G24">
        <v>23471524</v>
      </c>
      <c r="H24" s="5">
        <v>10449.673000000001</v>
      </c>
      <c r="I24" s="4">
        <v>64.400000000000006</v>
      </c>
      <c r="J24">
        <v>6729.5894120000012</v>
      </c>
      <c r="K24" s="5">
        <v>140.80000000000001</v>
      </c>
      <c r="L24">
        <v>24.154829545454547</v>
      </c>
      <c r="M24">
        <f t="shared" si="0"/>
        <v>8.8142694121595451</v>
      </c>
      <c r="N24" s="5">
        <f t="shared" si="3"/>
        <v>7506.5010000000002</v>
      </c>
      <c r="O24">
        <f t="shared" si="1"/>
        <v>3401</v>
      </c>
      <c r="P24">
        <f t="shared" si="2"/>
        <v>24.154829545454543</v>
      </c>
      <c r="R24" s="5">
        <v>140.80000000000001</v>
      </c>
    </row>
    <row r="25" spans="1:18" x14ac:dyDescent="0.2">
      <c r="A25" s="6">
        <v>33878</v>
      </c>
      <c r="B25" s="5">
        <v>7635.4260000000004</v>
      </c>
      <c r="C25">
        <v>0.91430723000000003</v>
      </c>
      <c r="D25">
        <v>3.1874541733333337</v>
      </c>
      <c r="E25">
        <v>7.3666666666666671</v>
      </c>
      <c r="F25" s="2">
        <v>3425000000000</v>
      </c>
      <c r="G25">
        <v>24073287</v>
      </c>
      <c r="H25" s="5">
        <v>10558.647999999999</v>
      </c>
      <c r="I25" s="4">
        <v>64.5</v>
      </c>
      <c r="J25">
        <v>6810.3279599999996</v>
      </c>
      <c r="K25" s="5">
        <v>142.03299999999999</v>
      </c>
      <c r="L25">
        <v>24.114114325544065</v>
      </c>
      <c r="M25">
        <f t="shared" si="0"/>
        <v>8.8261955565742785</v>
      </c>
      <c r="N25" s="5">
        <f t="shared" si="3"/>
        <v>7576.1877500000001</v>
      </c>
      <c r="O25">
        <f t="shared" si="1"/>
        <v>3425</v>
      </c>
      <c r="P25">
        <f t="shared" si="2"/>
        <v>24.114114325544065</v>
      </c>
      <c r="R25" s="5">
        <v>142.03299999999999</v>
      </c>
    </row>
    <row r="26" spans="1:18" x14ac:dyDescent="0.2">
      <c r="A26" s="6">
        <v>33970</v>
      </c>
      <c r="B26" s="5">
        <v>7664.4970000000003</v>
      </c>
      <c r="C26">
        <v>0.75000537333333328</v>
      </c>
      <c r="D26">
        <v>2.9820395433333329</v>
      </c>
      <c r="E26">
        <v>7.1333333333333329</v>
      </c>
      <c r="F26" s="2">
        <v>3415100000000</v>
      </c>
      <c r="G26">
        <v>24393522</v>
      </c>
      <c r="H26" s="5">
        <v>10576.275</v>
      </c>
      <c r="I26" s="4">
        <v>64.599999999999994</v>
      </c>
      <c r="J26">
        <v>6832.2736499999992</v>
      </c>
      <c r="K26" s="5">
        <v>143.06700000000001</v>
      </c>
      <c r="L26">
        <v>23.870634038597302</v>
      </c>
      <c r="M26">
        <f t="shared" si="0"/>
        <v>8.8294127888231682</v>
      </c>
      <c r="N26" s="5">
        <f t="shared" si="3"/>
        <v>7617.6534999999994</v>
      </c>
      <c r="O26">
        <f t="shared" si="1"/>
        <v>3415.1</v>
      </c>
      <c r="P26">
        <f t="shared" si="2"/>
        <v>23.870634038597299</v>
      </c>
      <c r="R26" s="5">
        <v>143.06700000000001</v>
      </c>
    </row>
    <row r="27" spans="1:18" x14ac:dyDescent="0.2">
      <c r="A27" s="6">
        <v>34060</v>
      </c>
      <c r="B27" s="5">
        <v>7688.3559999999998</v>
      </c>
      <c r="C27">
        <v>0.85743359666666663</v>
      </c>
      <c r="D27">
        <v>2.7334916299999996</v>
      </c>
      <c r="E27">
        <v>7.0666666666666664</v>
      </c>
      <c r="F27" s="2">
        <v>3430200000000</v>
      </c>
      <c r="G27">
        <v>24673903</v>
      </c>
      <c r="H27" s="5">
        <v>10637.847</v>
      </c>
      <c r="I27" s="4">
        <v>64.900000000000006</v>
      </c>
      <c r="J27">
        <v>6903.9627030000011</v>
      </c>
      <c r="K27" s="5">
        <v>144.1</v>
      </c>
      <c r="L27">
        <v>23.804302567661345</v>
      </c>
      <c r="M27">
        <f t="shared" si="0"/>
        <v>8.8398508305180812</v>
      </c>
      <c r="N27" s="5">
        <f t="shared" si="3"/>
        <v>7647.5037499999999</v>
      </c>
      <c r="O27">
        <f t="shared" si="1"/>
        <v>3430.2</v>
      </c>
      <c r="P27">
        <f t="shared" si="2"/>
        <v>23.804302567661345</v>
      </c>
      <c r="R27" s="5">
        <v>144.1</v>
      </c>
    </row>
    <row r="28" spans="1:18" x14ac:dyDescent="0.2">
      <c r="A28" s="6">
        <v>34151</v>
      </c>
      <c r="B28" s="5">
        <v>7694.7110000000002</v>
      </c>
      <c r="C28">
        <v>0.84058137000000011</v>
      </c>
      <c r="D28">
        <v>2.5817608466666666</v>
      </c>
      <c r="E28">
        <v>6.8</v>
      </c>
      <c r="F28" s="2">
        <v>3446633333333.3335</v>
      </c>
      <c r="G28">
        <v>25085015</v>
      </c>
      <c r="H28" s="5">
        <v>10688.606</v>
      </c>
      <c r="I28" s="4">
        <v>65.2</v>
      </c>
      <c r="J28">
        <v>6968.9711120000002</v>
      </c>
      <c r="K28" s="5">
        <v>144.767</v>
      </c>
      <c r="L28">
        <v>23.808142279202674</v>
      </c>
      <c r="M28">
        <f t="shared" si="0"/>
        <v>8.8492228762154053</v>
      </c>
      <c r="N28" s="5">
        <f t="shared" si="3"/>
        <v>7670.7475000000004</v>
      </c>
      <c r="O28">
        <f t="shared" si="1"/>
        <v>3446.6333333333337</v>
      </c>
      <c r="P28">
        <f t="shared" si="2"/>
        <v>23.808142279202677</v>
      </c>
      <c r="R28" s="5">
        <v>144.767</v>
      </c>
    </row>
    <row r="29" spans="1:18" x14ac:dyDescent="0.2">
      <c r="A29" s="6">
        <v>34243</v>
      </c>
      <c r="B29" s="5">
        <v>7748.23</v>
      </c>
      <c r="C29">
        <v>0.7369563033333334</v>
      </c>
      <c r="D29">
        <v>2.5604183300000001</v>
      </c>
      <c r="E29">
        <v>6.6333333333333329</v>
      </c>
      <c r="F29" s="2">
        <v>3467100000000</v>
      </c>
      <c r="G29">
        <v>25519067</v>
      </c>
      <c r="H29" s="5">
        <v>10833.986999999999</v>
      </c>
      <c r="I29" s="4">
        <v>64.900000000000006</v>
      </c>
      <c r="J29">
        <v>7031.2575630000001</v>
      </c>
      <c r="K29" s="5">
        <v>145.96700000000001</v>
      </c>
      <c r="L29">
        <v>23.752629018887831</v>
      </c>
      <c r="M29">
        <f t="shared" si="0"/>
        <v>8.8581208540129186</v>
      </c>
      <c r="N29" s="5">
        <f t="shared" si="3"/>
        <v>7698.9484999999995</v>
      </c>
      <c r="O29">
        <f t="shared" si="1"/>
        <v>3467.1</v>
      </c>
      <c r="P29">
        <f t="shared" si="2"/>
        <v>23.752629018887827</v>
      </c>
      <c r="R29" s="5">
        <v>145.96700000000001</v>
      </c>
    </row>
    <row r="30" spans="1:18" x14ac:dyDescent="0.2">
      <c r="A30" s="6">
        <v>34335</v>
      </c>
      <c r="B30" s="5">
        <v>7798.6120000000001</v>
      </c>
      <c r="C30">
        <v>0.66690804333333331</v>
      </c>
      <c r="D30">
        <v>2.7880189099999999</v>
      </c>
      <c r="E30">
        <v>6.5666666666666664</v>
      </c>
      <c r="F30" s="2">
        <v>3476900000000</v>
      </c>
      <c r="G30">
        <v>25648634</v>
      </c>
      <c r="H30" s="5">
        <v>10939.116</v>
      </c>
      <c r="I30" s="4">
        <v>64.900000000000006</v>
      </c>
      <c r="J30">
        <v>7099.4862840000005</v>
      </c>
      <c r="K30" s="5">
        <v>146.69999999999999</v>
      </c>
      <c r="L30">
        <v>23.700749829584186</v>
      </c>
      <c r="M30">
        <f t="shared" si="0"/>
        <v>8.8677777060455067</v>
      </c>
      <c r="N30" s="5">
        <f t="shared" si="3"/>
        <v>7732.4772499999999</v>
      </c>
      <c r="O30">
        <f t="shared" si="1"/>
        <v>3476.9</v>
      </c>
      <c r="P30">
        <f t="shared" si="2"/>
        <v>23.700749829584186</v>
      </c>
      <c r="R30" s="5">
        <v>146.69999999999999</v>
      </c>
    </row>
    <row r="31" spans="1:18" x14ac:dyDescent="0.2">
      <c r="A31" s="6">
        <v>34425</v>
      </c>
      <c r="B31" s="5">
        <v>7876.4129999999996</v>
      </c>
      <c r="C31">
        <v>1.3695156333333334</v>
      </c>
      <c r="D31">
        <v>3.6257751299999996</v>
      </c>
      <c r="E31">
        <v>6.2</v>
      </c>
      <c r="F31" s="2">
        <v>3483866666666.6665</v>
      </c>
      <c r="G31">
        <v>25833318</v>
      </c>
      <c r="H31" s="5">
        <v>11087.361000000001</v>
      </c>
      <c r="I31" s="4">
        <v>64.599999999999994</v>
      </c>
      <c r="J31">
        <v>7162.4352059999992</v>
      </c>
      <c r="K31" s="5">
        <v>147.53299999999999</v>
      </c>
      <c r="L31">
        <v>23.614151862069274</v>
      </c>
      <c r="M31">
        <f t="shared" si="0"/>
        <v>8.8766053146993542</v>
      </c>
      <c r="N31" s="5">
        <f t="shared" si="3"/>
        <v>7779.4915000000001</v>
      </c>
      <c r="O31">
        <f t="shared" si="1"/>
        <v>3483.8666666666663</v>
      </c>
      <c r="P31">
        <f t="shared" si="2"/>
        <v>23.614151862069278</v>
      </c>
      <c r="R31" s="5">
        <v>147.53299999999999</v>
      </c>
    </row>
    <row r="32" spans="1:18" x14ac:dyDescent="0.2">
      <c r="A32" s="6">
        <v>34516</v>
      </c>
      <c r="B32" s="5">
        <v>7922.7929999999997</v>
      </c>
      <c r="C32">
        <v>1.8357956333333334</v>
      </c>
      <c r="D32">
        <v>3.6679359833333334</v>
      </c>
      <c r="E32">
        <v>6</v>
      </c>
      <c r="F32" s="2">
        <v>3486666666666.6665</v>
      </c>
      <c r="G32">
        <v>26193438</v>
      </c>
      <c r="H32" s="5">
        <v>11152.175999999999</v>
      </c>
      <c r="I32" s="4">
        <v>64.8</v>
      </c>
      <c r="J32">
        <v>7226.6100479999986</v>
      </c>
      <c r="K32" s="5">
        <v>148.9</v>
      </c>
      <c r="L32">
        <v>23.416162972912467</v>
      </c>
      <c r="M32">
        <f t="shared" si="0"/>
        <v>8.8855253321684344</v>
      </c>
      <c r="N32" s="5">
        <f t="shared" si="3"/>
        <v>7836.5120000000006</v>
      </c>
      <c r="O32">
        <f t="shared" si="1"/>
        <v>3486.6666666666665</v>
      </c>
      <c r="P32">
        <f t="shared" si="2"/>
        <v>23.416162972912467</v>
      </c>
      <c r="R32" s="5">
        <v>148.9</v>
      </c>
    </row>
    <row r="33" spans="1:18" x14ac:dyDescent="0.2">
      <c r="A33" s="6">
        <v>34608</v>
      </c>
      <c r="B33" s="5">
        <v>8036.2250000000004</v>
      </c>
      <c r="C33">
        <v>2.0286206666666664</v>
      </c>
      <c r="D33">
        <v>4.0589429633333332</v>
      </c>
      <c r="E33">
        <v>5.6333333333333329</v>
      </c>
      <c r="F33" s="2">
        <v>3485966666666.6665</v>
      </c>
      <c r="G33">
        <v>26396106</v>
      </c>
      <c r="H33" s="5">
        <v>11279.932000000001</v>
      </c>
      <c r="I33" s="4">
        <v>64.7</v>
      </c>
      <c r="J33">
        <v>7298.1160040000013</v>
      </c>
      <c r="K33" s="5">
        <v>149.767</v>
      </c>
      <c r="L33">
        <v>23.275933060465032</v>
      </c>
      <c r="M33">
        <f t="shared" si="0"/>
        <v>8.8953715121838481</v>
      </c>
      <c r="N33" s="5">
        <f t="shared" si="3"/>
        <v>7908.5107499999995</v>
      </c>
      <c r="O33">
        <f t="shared" si="1"/>
        <v>3485.9666666666667</v>
      </c>
      <c r="P33">
        <f t="shared" si="2"/>
        <v>23.275933060465036</v>
      </c>
      <c r="R33" s="5">
        <v>149.767</v>
      </c>
    </row>
    <row r="34" spans="1:18" x14ac:dyDescent="0.2">
      <c r="A34" s="6">
        <v>34700</v>
      </c>
      <c r="B34" s="5">
        <v>8104.0550000000003</v>
      </c>
      <c r="C34">
        <v>2.2494705333333336</v>
      </c>
      <c r="D34">
        <v>4.0067575066666663</v>
      </c>
      <c r="E34">
        <v>5.4666666666666659</v>
      </c>
      <c r="F34" s="2">
        <v>3491133333333.3335</v>
      </c>
      <c r="G34">
        <v>26919130</v>
      </c>
      <c r="H34" s="5">
        <v>11319.950999999999</v>
      </c>
      <c r="I34" s="4">
        <v>64.599999999999994</v>
      </c>
      <c r="J34">
        <v>7312.6883459999981</v>
      </c>
      <c r="K34" s="5">
        <v>150.86699999999999</v>
      </c>
      <c r="L34">
        <v>23.140470303865879</v>
      </c>
      <c r="M34">
        <f t="shared" si="0"/>
        <v>8.897366247926362</v>
      </c>
      <c r="N34" s="5">
        <f t="shared" si="3"/>
        <v>7984.8714999999993</v>
      </c>
      <c r="O34">
        <f t="shared" si="1"/>
        <v>3491.1333333333337</v>
      </c>
      <c r="P34">
        <f t="shared" si="2"/>
        <v>23.140470303865882</v>
      </c>
      <c r="R34" s="5">
        <v>150.86699999999999</v>
      </c>
    </row>
    <row r="35" spans="1:18" x14ac:dyDescent="0.2">
      <c r="A35" s="6">
        <v>34790</v>
      </c>
      <c r="B35" s="5">
        <v>8126.5029999999997</v>
      </c>
      <c r="C35">
        <v>3.0610123000000002</v>
      </c>
      <c r="D35">
        <v>3.3267069900000004</v>
      </c>
      <c r="E35">
        <v>5.666666666666667</v>
      </c>
      <c r="F35" s="2">
        <v>3524100000000</v>
      </c>
      <c r="G35">
        <v>27480983</v>
      </c>
      <c r="H35" s="5">
        <v>11353.721</v>
      </c>
      <c r="I35" s="4">
        <v>65.099999999999994</v>
      </c>
      <c r="J35">
        <v>7391.2723709999991</v>
      </c>
      <c r="K35" s="5">
        <v>152.1</v>
      </c>
      <c r="L35">
        <v>23.169625246548325</v>
      </c>
      <c r="M35">
        <f t="shared" si="0"/>
        <v>8.9080551738174201</v>
      </c>
      <c r="N35" s="5">
        <f t="shared" si="3"/>
        <v>8047.3940000000002</v>
      </c>
      <c r="O35">
        <f t="shared" si="1"/>
        <v>3524.1</v>
      </c>
      <c r="P35">
        <f t="shared" si="2"/>
        <v>23.169625246548325</v>
      </c>
      <c r="R35" s="5">
        <v>152.1</v>
      </c>
    </row>
    <row r="36" spans="1:18" x14ac:dyDescent="0.2">
      <c r="A36" s="6">
        <v>34881</v>
      </c>
      <c r="B36" s="5">
        <v>8200.09</v>
      </c>
      <c r="C36">
        <v>2.3856303666666667</v>
      </c>
      <c r="D36">
        <v>3.0347057199999998</v>
      </c>
      <c r="E36">
        <v>5.666666666666667</v>
      </c>
      <c r="F36" s="2">
        <v>3586166666666.6665</v>
      </c>
      <c r="G36">
        <v>27888939</v>
      </c>
      <c r="H36" s="5">
        <v>11450.31</v>
      </c>
      <c r="I36" s="4">
        <v>65.099999999999994</v>
      </c>
      <c r="J36">
        <v>7454.1518099999985</v>
      </c>
      <c r="K36" s="5">
        <v>152.86699999999999</v>
      </c>
      <c r="L36">
        <v>23.459390624965927</v>
      </c>
      <c r="M36">
        <f t="shared" si="0"/>
        <v>8.9165264460781248</v>
      </c>
      <c r="N36" s="5">
        <f t="shared" si="3"/>
        <v>8116.7182499999999</v>
      </c>
      <c r="O36">
        <f t="shared" si="1"/>
        <v>3586.1666666666665</v>
      </c>
      <c r="P36">
        <f t="shared" si="2"/>
        <v>23.459390624965931</v>
      </c>
      <c r="R36" s="5">
        <v>152.86699999999999</v>
      </c>
    </row>
    <row r="37" spans="1:18" x14ac:dyDescent="0.2">
      <c r="A37" s="6">
        <v>34973</v>
      </c>
      <c r="B37" s="5">
        <v>8246.7209999999995</v>
      </c>
      <c r="C37">
        <v>2.636415766666667</v>
      </c>
      <c r="D37">
        <v>2.8720357566666661</v>
      </c>
      <c r="E37">
        <v>5.5666666666666664</v>
      </c>
      <c r="F37" s="2">
        <v>3620933333333.3335</v>
      </c>
      <c r="G37">
        <v>28569853</v>
      </c>
      <c r="H37" s="5">
        <v>11528.066999999999</v>
      </c>
      <c r="I37" s="4">
        <v>65</v>
      </c>
      <c r="J37">
        <v>7493.2435500000001</v>
      </c>
      <c r="K37" s="5">
        <v>153.69999999999999</v>
      </c>
      <c r="L37">
        <v>23.55844719149859</v>
      </c>
      <c r="M37">
        <f t="shared" si="0"/>
        <v>8.9217570335061698</v>
      </c>
      <c r="N37" s="5">
        <f t="shared" si="3"/>
        <v>8169.3422499999997</v>
      </c>
      <c r="O37">
        <f t="shared" si="1"/>
        <v>3620.9333333333334</v>
      </c>
      <c r="P37">
        <f t="shared" si="2"/>
        <v>23.558447191498594</v>
      </c>
      <c r="R37" s="5">
        <v>153.69999999999999</v>
      </c>
    </row>
    <row r="38" spans="1:18" x14ac:dyDescent="0.2">
      <c r="A38" s="6">
        <v>35065</v>
      </c>
      <c r="B38" s="5">
        <v>8323.4580000000005</v>
      </c>
      <c r="C38">
        <v>2.3852581000000002</v>
      </c>
      <c r="D38">
        <v>2.7142480966666667</v>
      </c>
      <c r="E38">
        <v>5.5333333333333341</v>
      </c>
      <c r="F38" s="2">
        <v>3665533333333.3335</v>
      </c>
      <c r="G38">
        <v>29079181</v>
      </c>
      <c r="H38" s="5">
        <v>11614.418</v>
      </c>
      <c r="I38" s="4">
        <v>65.2</v>
      </c>
      <c r="J38">
        <v>7572.6005359999999</v>
      </c>
      <c r="K38" s="5">
        <v>155.06700000000001</v>
      </c>
      <c r="L38">
        <v>23.638384268305529</v>
      </c>
      <c r="M38">
        <f t="shared" si="0"/>
        <v>8.9322918192741394</v>
      </c>
      <c r="N38" s="5">
        <f t="shared" si="3"/>
        <v>8224.1929999999993</v>
      </c>
      <c r="O38">
        <f t="shared" si="1"/>
        <v>3665.5333333333333</v>
      </c>
      <c r="P38">
        <f t="shared" si="2"/>
        <v>23.638384268305526</v>
      </c>
      <c r="R38" s="5">
        <v>155.06700000000001</v>
      </c>
    </row>
    <row r="39" spans="1:18" x14ac:dyDescent="0.2">
      <c r="A39" s="6">
        <v>35156</v>
      </c>
      <c r="B39" s="5">
        <v>8398.6280000000006</v>
      </c>
      <c r="C39">
        <v>2.4231885000000002</v>
      </c>
      <c r="D39">
        <v>3.302480193333333</v>
      </c>
      <c r="E39">
        <v>5.5</v>
      </c>
      <c r="F39" s="2">
        <v>3709933333333.3335</v>
      </c>
      <c r="G39">
        <v>29531691</v>
      </c>
      <c r="H39" s="5">
        <v>11808.14</v>
      </c>
      <c r="I39" s="4">
        <v>65</v>
      </c>
      <c r="J39">
        <v>7675.2910000000002</v>
      </c>
      <c r="K39" s="5">
        <v>156.4</v>
      </c>
      <c r="L39">
        <v>23.72080136402387</v>
      </c>
      <c r="M39">
        <f t="shared" si="0"/>
        <v>8.9457614870460773</v>
      </c>
      <c r="N39" s="5">
        <f t="shared" si="3"/>
        <v>8292.2242499999993</v>
      </c>
      <c r="O39">
        <f t="shared" si="1"/>
        <v>3709.9333333333334</v>
      </c>
      <c r="P39">
        <f t="shared" si="2"/>
        <v>23.72080136402387</v>
      </c>
      <c r="R39" s="5">
        <v>156.4</v>
      </c>
    </row>
    <row r="40" spans="1:18" x14ac:dyDescent="0.2">
      <c r="A40" s="6">
        <v>35247</v>
      </c>
      <c r="B40" s="5">
        <v>8464.2219999999998</v>
      </c>
      <c r="C40">
        <v>2.6020171333333333</v>
      </c>
      <c r="D40">
        <v>3.4064993399999999</v>
      </c>
      <c r="E40">
        <v>5.2666666666666666</v>
      </c>
      <c r="F40" s="2">
        <v>3744833333333.3335</v>
      </c>
      <c r="G40">
        <v>29817308</v>
      </c>
      <c r="H40" s="5">
        <v>11914.063</v>
      </c>
      <c r="I40" s="4">
        <v>64.900000000000006</v>
      </c>
      <c r="J40">
        <v>7732.2268870000007</v>
      </c>
      <c r="K40" s="5">
        <v>157.30000000000001</v>
      </c>
      <c r="L40">
        <v>23.806950625132444</v>
      </c>
      <c r="M40">
        <f t="shared" si="0"/>
        <v>8.9531521837931969</v>
      </c>
      <c r="N40" s="5">
        <f t="shared" si="3"/>
        <v>8358.2572500000006</v>
      </c>
      <c r="O40">
        <f t="shared" si="1"/>
        <v>3744.8333333333335</v>
      </c>
      <c r="P40">
        <f t="shared" si="2"/>
        <v>23.806950625132444</v>
      </c>
      <c r="R40" s="5">
        <v>157.30000000000001</v>
      </c>
    </row>
    <row r="41" spans="1:18" x14ac:dyDescent="0.2">
      <c r="A41" s="6">
        <v>35339</v>
      </c>
      <c r="B41" s="5">
        <v>8506.9519999999993</v>
      </c>
      <c r="C41">
        <v>2.3226539000000002</v>
      </c>
      <c r="D41">
        <v>3.1369771100000001</v>
      </c>
      <c r="E41">
        <v>5.333333333333333</v>
      </c>
      <c r="F41" s="2">
        <v>3795500000000</v>
      </c>
      <c r="G41">
        <v>30482113</v>
      </c>
      <c r="H41" s="5">
        <v>12037.775</v>
      </c>
      <c r="I41" s="4">
        <v>64.8</v>
      </c>
      <c r="J41">
        <v>7800.4781999999996</v>
      </c>
      <c r="K41" s="5">
        <v>158.667</v>
      </c>
      <c r="L41">
        <v>23.921168232839847</v>
      </c>
      <c r="M41">
        <f t="shared" si="0"/>
        <v>8.9619403184907505</v>
      </c>
      <c r="N41" s="5">
        <f t="shared" si="3"/>
        <v>8423.3150000000005</v>
      </c>
      <c r="O41">
        <f t="shared" si="1"/>
        <v>3795.5</v>
      </c>
      <c r="P41">
        <f t="shared" si="2"/>
        <v>23.921168232839847</v>
      </c>
      <c r="R41" s="5">
        <v>158.667</v>
      </c>
    </row>
    <row r="42" spans="1:18" x14ac:dyDescent="0.2">
      <c r="A42" s="6">
        <v>35431</v>
      </c>
      <c r="B42" s="5">
        <v>8584.9169999999995</v>
      </c>
      <c r="C42">
        <v>2.1772290333333335</v>
      </c>
      <c r="D42">
        <v>3.2589328300000004</v>
      </c>
      <c r="E42">
        <v>5.2333333333333334</v>
      </c>
      <c r="F42" s="2">
        <v>3847366666666.6665</v>
      </c>
      <c r="G42">
        <v>30711578</v>
      </c>
      <c r="H42" s="5">
        <v>12115.472</v>
      </c>
      <c r="I42" s="4">
        <v>65</v>
      </c>
      <c r="J42">
        <v>7875.0567999999994</v>
      </c>
      <c r="K42" s="5">
        <v>159.63300000000001</v>
      </c>
      <c r="L42">
        <v>24.10132407877235</v>
      </c>
      <c r="M42">
        <f t="shared" si="0"/>
        <v>8.9714556763662348</v>
      </c>
      <c r="N42" s="5">
        <f t="shared" si="3"/>
        <v>8488.6797499999993</v>
      </c>
      <c r="O42">
        <f t="shared" si="1"/>
        <v>3847.3666666666663</v>
      </c>
      <c r="P42">
        <f t="shared" si="2"/>
        <v>24.101324078772347</v>
      </c>
      <c r="R42" s="5">
        <v>159.63300000000001</v>
      </c>
    </row>
    <row r="43" spans="1:18" x14ac:dyDescent="0.2">
      <c r="A43" s="6">
        <v>35521</v>
      </c>
      <c r="B43" s="5">
        <v>8658.7209999999995</v>
      </c>
      <c r="C43">
        <v>2.6520771000000001</v>
      </c>
      <c r="D43">
        <v>3.4221876200000003</v>
      </c>
      <c r="E43">
        <v>5</v>
      </c>
      <c r="F43" s="2">
        <v>3890733333333.3335</v>
      </c>
      <c r="G43">
        <v>32037046</v>
      </c>
      <c r="H43" s="5">
        <v>12317.221</v>
      </c>
      <c r="I43" s="4">
        <v>64.2</v>
      </c>
      <c r="J43">
        <v>7907.655882</v>
      </c>
      <c r="K43" s="5">
        <v>160</v>
      </c>
      <c r="L43">
        <v>24.317083333333333</v>
      </c>
      <c r="M43">
        <f t="shared" si="0"/>
        <v>8.9755866681691874</v>
      </c>
      <c r="N43" s="5">
        <f t="shared" si="3"/>
        <v>8553.7029999999995</v>
      </c>
      <c r="O43">
        <f t="shared" si="1"/>
        <v>3890.7333333333336</v>
      </c>
      <c r="P43">
        <f t="shared" si="2"/>
        <v>24.317083333333336</v>
      </c>
      <c r="R43" s="5">
        <v>160</v>
      </c>
    </row>
    <row r="44" spans="1:18" x14ac:dyDescent="0.2">
      <c r="A44" s="6">
        <v>35612</v>
      </c>
      <c r="B44" s="5">
        <v>8761.0969999999998</v>
      </c>
      <c r="C44">
        <v>2.8090723333333329</v>
      </c>
      <c r="D44">
        <v>3.1464192799999999</v>
      </c>
      <c r="E44">
        <v>4.8666666666666663</v>
      </c>
      <c r="F44" s="2">
        <v>3951466666666.6665</v>
      </c>
      <c r="G44">
        <v>32992940</v>
      </c>
      <c r="H44" s="5">
        <v>12471.01</v>
      </c>
      <c r="I44" s="4">
        <v>64.400000000000006</v>
      </c>
      <c r="J44">
        <v>8031.3304400000015</v>
      </c>
      <c r="K44" s="5">
        <v>160.80000000000001</v>
      </c>
      <c r="L44">
        <v>24.573797678275291</v>
      </c>
      <c r="M44">
        <f t="shared" si="0"/>
        <v>8.991105476902959</v>
      </c>
      <c r="N44" s="5">
        <f t="shared" si="3"/>
        <v>8627.9217499999995</v>
      </c>
      <c r="O44">
        <f t="shared" si="1"/>
        <v>3951.4666666666667</v>
      </c>
      <c r="P44">
        <f t="shared" si="2"/>
        <v>24.573797678275287</v>
      </c>
      <c r="R44" s="5">
        <v>160.80000000000001</v>
      </c>
    </row>
    <row r="45" spans="1:18" x14ac:dyDescent="0.2">
      <c r="A45" s="6">
        <v>35704</v>
      </c>
      <c r="B45" s="5">
        <v>8890.4680000000008</v>
      </c>
      <c r="C45">
        <v>2.4449738666666669</v>
      </c>
      <c r="D45">
        <v>2.9697995366666667</v>
      </c>
      <c r="E45">
        <v>4.666666666666667</v>
      </c>
      <c r="F45" s="2">
        <v>4013333333333.3335</v>
      </c>
      <c r="G45">
        <v>33519788</v>
      </c>
      <c r="H45" s="5">
        <v>12577.495000000001</v>
      </c>
      <c r="I45" s="4">
        <v>64.599999999999994</v>
      </c>
      <c r="J45">
        <v>8125.0617700000003</v>
      </c>
      <c r="K45" s="5">
        <v>161.667</v>
      </c>
      <c r="L45">
        <v>24.824691083111169</v>
      </c>
      <c r="M45">
        <f t="shared" si="0"/>
        <v>9.0027086096305773</v>
      </c>
      <c r="N45" s="5">
        <f t="shared" si="3"/>
        <v>8723.8007500000003</v>
      </c>
      <c r="O45">
        <f t="shared" si="1"/>
        <v>4013.3333333333335</v>
      </c>
      <c r="P45">
        <f t="shared" si="2"/>
        <v>24.824691083111169</v>
      </c>
      <c r="R45" s="5">
        <v>161.667</v>
      </c>
    </row>
    <row r="46" spans="1:18" x14ac:dyDescent="0.2">
      <c r="A46" s="6">
        <v>35796</v>
      </c>
      <c r="B46" s="5">
        <v>9079.491</v>
      </c>
      <c r="C46">
        <v>2.6285693999999999</v>
      </c>
      <c r="D46">
        <v>2.8232941666666669</v>
      </c>
      <c r="E46">
        <v>4.6333333333333329</v>
      </c>
      <c r="F46" s="2">
        <v>4086466666666.6665</v>
      </c>
      <c r="G46">
        <v>35126826</v>
      </c>
      <c r="H46" s="5">
        <v>12703.742</v>
      </c>
      <c r="I46" s="4">
        <v>64.5</v>
      </c>
      <c r="J46">
        <v>8193.9135900000001</v>
      </c>
      <c r="K46" s="5">
        <v>162</v>
      </c>
      <c r="L46">
        <v>25.225102880658437</v>
      </c>
      <c r="M46">
        <f t="shared" si="0"/>
        <v>9.0111469125300996</v>
      </c>
      <c r="N46" s="5">
        <f t="shared" si="3"/>
        <v>8847.4442500000005</v>
      </c>
      <c r="O46">
        <f t="shared" si="1"/>
        <v>4086.4666666666667</v>
      </c>
      <c r="P46">
        <f t="shared" si="2"/>
        <v>25.225102880658437</v>
      </c>
      <c r="R46" s="5">
        <v>162</v>
      </c>
    </row>
    <row r="47" spans="1:18" x14ac:dyDescent="0.2">
      <c r="A47" s="6">
        <v>35886</v>
      </c>
      <c r="B47" s="5">
        <v>9206.7669999999998</v>
      </c>
      <c r="C47">
        <v>2.7249455666666669</v>
      </c>
      <c r="D47">
        <v>2.8700350866666668</v>
      </c>
      <c r="E47">
        <v>4.3999999999999995</v>
      </c>
      <c r="F47" s="2">
        <v>4162900000000</v>
      </c>
      <c r="G47">
        <v>35815091</v>
      </c>
      <c r="H47" s="5">
        <v>12821.339</v>
      </c>
      <c r="I47" s="4">
        <v>65</v>
      </c>
      <c r="J47">
        <v>8333.8703500000011</v>
      </c>
      <c r="K47" s="5">
        <v>162.53299999999999</v>
      </c>
      <c r="L47">
        <v>25.612644816744908</v>
      </c>
      <c r="M47">
        <f t="shared" si="0"/>
        <v>9.0280832551059316</v>
      </c>
      <c r="N47" s="5">
        <f t="shared" si="3"/>
        <v>8984.455750000001</v>
      </c>
      <c r="O47">
        <f t="shared" si="1"/>
        <v>4162.8999999999996</v>
      </c>
      <c r="P47">
        <f t="shared" si="2"/>
        <v>25.612644816744908</v>
      </c>
      <c r="R47" s="5">
        <v>162.53299999999999</v>
      </c>
    </row>
    <row r="48" spans="1:18" x14ac:dyDescent="0.2">
      <c r="A48" s="6">
        <v>35977</v>
      </c>
      <c r="B48" s="5">
        <v>9298.2909999999993</v>
      </c>
      <c r="C48">
        <v>2.2840989333333339</v>
      </c>
      <c r="D48">
        <v>2.6820950333333333</v>
      </c>
      <c r="E48">
        <v>4.5333333333333332</v>
      </c>
      <c r="F48" s="2">
        <v>4233366666666.6665</v>
      </c>
      <c r="G48">
        <v>35195398</v>
      </c>
      <c r="H48" s="5">
        <v>12982.752</v>
      </c>
      <c r="I48" s="4">
        <v>65</v>
      </c>
      <c r="J48">
        <v>8438.7888000000003</v>
      </c>
      <c r="K48" s="5">
        <v>163.36699999999999</v>
      </c>
      <c r="L48">
        <v>25.913230130116037</v>
      </c>
      <c r="M48">
        <f t="shared" si="0"/>
        <v>9.040594070182868</v>
      </c>
      <c r="N48" s="5">
        <f t="shared" si="3"/>
        <v>9118.75425</v>
      </c>
      <c r="O48">
        <f t="shared" si="1"/>
        <v>4233.3666666666668</v>
      </c>
      <c r="P48">
        <f t="shared" si="2"/>
        <v>25.913230130116041</v>
      </c>
      <c r="R48" s="5">
        <v>163.36699999999999</v>
      </c>
    </row>
    <row r="49" spans="1:18" x14ac:dyDescent="0.2">
      <c r="A49" s="6">
        <v>36069</v>
      </c>
      <c r="B49" s="5">
        <v>9367.9509999999991</v>
      </c>
      <c r="C49">
        <v>2.1671447333333336</v>
      </c>
      <c r="D49">
        <v>2.1285852533333336</v>
      </c>
      <c r="E49">
        <v>4.4333333333333336</v>
      </c>
      <c r="F49" s="2">
        <v>4343100000000</v>
      </c>
      <c r="G49">
        <v>37212659</v>
      </c>
      <c r="H49" s="5">
        <v>13191.67</v>
      </c>
      <c r="I49" s="4">
        <v>64.900000000000006</v>
      </c>
      <c r="J49">
        <v>8561.3938300000009</v>
      </c>
      <c r="K49" s="5">
        <v>164.13300000000001</v>
      </c>
      <c r="L49">
        <v>26.460857962749721</v>
      </c>
      <c r="M49">
        <f t="shared" si="0"/>
        <v>9.0550182864877993</v>
      </c>
      <c r="N49" s="5">
        <f t="shared" si="3"/>
        <v>9238.125</v>
      </c>
      <c r="O49">
        <f t="shared" si="1"/>
        <v>4343.1000000000004</v>
      </c>
      <c r="P49">
        <f t="shared" si="2"/>
        <v>26.460857962749721</v>
      </c>
      <c r="R49" s="5">
        <v>164.13300000000001</v>
      </c>
    </row>
    <row r="50" spans="1:18" x14ac:dyDescent="0.2">
      <c r="A50" s="6">
        <v>36161</v>
      </c>
      <c r="B50" s="5">
        <v>9468.1370000000006</v>
      </c>
      <c r="C50">
        <v>2.1061057000000001</v>
      </c>
      <c r="D50">
        <v>2.4620338166666667</v>
      </c>
      <c r="E50">
        <v>4.3</v>
      </c>
      <c r="F50" s="2">
        <v>4420000000000</v>
      </c>
      <c r="G50">
        <v>37529919</v>
      </c>
      <c r="H50" s="5">
        <v>13315.597</v>
      </c>
      <c r="I50" s="4">
        <v>64.8</v>
      </c>
      <c r="J50">
        <v>8628.506856</v>
      </c>
      <c r="K50" s="5">
        <v>164.733</v>
      </c>
      <c r="L50">
        <v>26.831296704364032</v>
      </c>
      <c r="M50">
        <f t="shared" si="0"/>
        <v>9.0628267512634313</v>
      </c>
      <c r="N50" s="5">
        <f t="shared" si="3"/>
        <v>9335.2865000000002</v>
      </c>
      <c r="O50">
        <f t="shared" si="1"/>
        <v>4420</v>
      </c>
      <c r="P50">
        <f t="shared" si="2"/>
        <v>26.831296704364032</v>
      </c>
      <c r="R50" s="5">
        <v>164.733</v>
      </c>
    </row>
    <row r="51" spans="1:18" x14ac:dyDescent="0.2">
      <c r="A51" s="6">
        <v>36251</v>
      </c>
      <c r="B51" s="5">
        <v>9474.5400000000009</v>
      </c>
      <c r="C51">
        <v>2.7044352666666662</v>
      </c>
      <c r="D51">
        <v>2.8328636966666667</v>
      </c>
      <c r="E51">
        <v>4.2666666666666666</v>
      </c>
      <c r="F51" s="2">
        <v>4484400000000</v>
      </c>
      <c r="G51">
        <v>38604922</v>
      </c>
      <c r="H51" s="5">
        <v>13426.748</v>
      </c>
      <c r="I51" s="4">
        <v>65.400000000000006</v>
      </c>
      <c r="J51">
        <v>8781.0931920000003</v>
      </c>
      <c r="K51" s="5">
        <v>165.96700000000001</v>
      </c>
      <c r="L51">
        <v>27.019829243162796</v>
      </c>
      <c r="M51">
        <f t="shared" si="0"/>
        <v>9.0803561882179249</v>
      </c>
      <c r="N51" s="5">
        <f t="shared" si="3"/>
        <v>9402.2297500000004</v>
      </c>
      <c r="O51">
        <f t="shared" si="1"/>
        <v>4484.3999999999996</v>
      </c>
      <c r="P51">
        <f t="shared" si="2"/>
        <v>27.019829243162793</v>
      </c>
      <c r="R51" s="5">
        <v>165.96700000000001</v>
      </c>
    </row>
    <row r="52" spans="1:18" x14ac:dyDescent="0.2">
      <c r="A52" s="6">
        <v>36342</v>
      </c>
      <c r="B52" s="5">
        <v>9541.5439999999999</v>
      </c>
      <c r="C52">
        <v>2.6309859666666671</v>
      </c>
      <c r="D52">
        <v>3.0921901799999998</v>
      </c>
      <c r="E52">
        <v>4.2333333333333334</v>
      </c>
      <c r="F52" s="2">
        <v>4551300000000</v>
      </c>
      <c r="G52">
        <v>38514112</v>
      </c>
      <c r="H52" s="5">
        <v>13604.771000000001</v>
      </c>
      <c r="I52" s="4">
        <v>65.400000000000006</v>
      </c>
      <c r="J52">
        <v>8897.5202340000014</v>
      </c>
      <c r="K52" s="5">
        <v>167.2</v>
      </c>
      <c r="L52">
        <v>27.220693779904305</v>
      </c>
      <c r="M52">
        <f t="shared" si="0"/>
        <v>9.0935278915037063</v>
      </c>
      <c r="N52" s="5">
        <f t="shared" si="3"/>
        <v>9463.0429999999997</v>
      </c>
      <c r="O52">
        <f t="shared" si="1"/>
        <v>4551.3</v>
      </c>
      <c r="P52">
        <f t="shared" si="2"/>
        <v>27.220693779904309</v>
      </c>
      <c r="R52" s="5">
        <v>167.2</v>
      </c>
    </row>
    <row r="53" spans="1:18" x14ac:dyDescent="0.2">
      <c r="A53" s="6">
        <v>36434</v>
      </c>
      <c r="B53" s="5">
        <v>9665.1470000000008</v>
      </c>
      <c r="C53">
        <v>2.0895529666666666</v>
      </c>
      <c r="D53">
        <v>3.1607929633333334</v>
      </c>
      <c r="E53">
        <v>4.0666666666666664</v>
      </c>
      <c r="F53" s="2">
        <v>4613333333333.333</v>
      </c>
      <c r="G53">
        <v>40967074</v>
      </c>
      <c r="H53" s="5">
        <v>13827.98</v>
      </c>
      <c r="I53" s="4">
        <v>65.3</v>
      </c>
      <c r="J53">
        <v>9029.67094</v>
      </c>
      <c r="K53" s="5">
        <v>168.43299999999999</v>
      </c>
      <c r="L53">
        <v>27.389723708141119</v>
      </c>
      <c r="M53">
        <f t="shared" si="0"/>
        <v>9.108271204994006</v>
      </c>
      <c r="N53" s="5">
        <f t="shared" si="3"/>
        <v>9537.3420000000006</v>
      </c>
      <c r="O53">
        <f t="shared" si="1"/>
        <v>4613.333333333333</v>
      </c>
      <c r="P53">
        <f t="shared" si="2"/>
        <v>27.389723708141119</v>
      </c>
      <c r="R53" s="5">
        <v>168.43299999999999</v>
      </c>
    </row>
    <row r="54" spans="1:18" x14ac:dyDescent="0.2">
      <c r="A54" s="6">
        <v>36526</v>
      </c>
      <c r="B54" s="5">
        <v>9833.8719999999994</v>
      </c>
      <c r="C54">
        <v>2.6508100999999997</v>
      </c>
      <c r="D54">
        <v>3.4549139566666671</v>
      </c>
      <c r="E54">
        <v>4.0333333333333332</v>
      </c>
      <c r="F54" s="2">
        <v>4685266666666.667</v>
      </c>
      <c r="G54">
        <v>42053230</v>
      </c>
      <c r="H54" s="5">
        <v>13878.147000000001</v>
      </c>
      <c r="I54" s="4">
        <v>66.2</v>
      </c>
      <c r="J54">
        <v>9187.3333140000013</v>
      </c>
      <c r="K54" s="5">
        <v>170.1</v>
      </c>
      <c r="L54">
        <v>27.544189692337842</v>
      </c>
      <c r="M54">
        <f t="shared" si="0"/>
        <v>9.1255810006626348</v>
      </c>
      <c r="N54" s="5">
        <f t="shared" si="3"/>
        <v>9628.7757500000007</v>
      </c>
      <c r="O54">
        <f t="shared" si="1"/>
        <v>4685.2666666666673</v>
      </c>
      <c r="P54">
        <f t="shared" si="2"/>
        <v>27.544189692337845</v>
      </c>
      <c r="R54" s="5">
        <v>170.1</v>
      </c>
    </row>
    <row r="55" spans="1:18" x14ac:dyDescent="0.2">
      <c r="A55" s="6">
        <v>36617</v>
      </c>
      <c r="B55" s="5">
        <v>9950.19</v>
      </c>
      <c r="C55">
        <v>2.5543155333333334</v>
      </c>
      <c r="D55">
        <v>3.2304635499999996</v>
      </c>
      <c r="E55">
        <v>3.9333333333333336</v>
      </c>
      <c r="F55" s="2">
        <v>4763933333333.333</v>
      </c>
      <c r="G55">
        <v>42051458</v>
      </c>
      <c r="H55" s="5">
        <v>14130.907999999999</v>
      </c>
      <c r="I55" s="4">
        <v>65.5</v>
      </c>
      <c r="J55">
        <v>9255.7447400000001</v>
      </c>
      <c r="K55" s="5">
        <v>171.43299999999999</v>
      </c>
      <c r="L55">
        <v>27.7888932313693</v>
      </c>
      <c r="M55">
        <f t="shared" si="0"/>
        <v>9.1329996907058568</v>
      </c>
      <c r="N55" s="5">
        <f t="shared" si="3"/>
        <v>9747.6882499999992</v>
      </c>
      <c r="O55">
        <f t="shared" si="1"/>
        <v>4763.9333333333334</v>
      </c>
      <c r="P55">
        <f t="shared" si="2"/>
        <v>27.788893231369304</v>
      </c>
      <c r="R55" s="5">
        <v>171.43299999999999</v>
      </c>
    </row>
    <row r="56" spans="1:18" x14ac:dyDescent="0.2">
      <c r="A56" s="6">
        <v>36708</v>
      </c>
      <c r="B56" s="5">
        <v>10081.460999999999</v>
      </c>
      <c r="C56">
        <v>3.1986584333333332</v>
      </c>
      <c r="D56">
        <v>2.9979881033333329</v>
      </c>
      <c r="E56">
        <v>4</v>
      </c>
      <c r="F56" s="2">
        <v>4820033333333.333</v>
      </c>
      <c r="G56">
        <v>42603842</v>
      </c>
      <c r="H56" s="5">
        <v>14145.312</v>
      </c>
      <c r="I56" s="4">
        <v>66.099999999999994</v>
      </c>
      <c r="J56">
        <v>9350.0512319999998</v>
      </c>
      <c r="K56" s="5">
        <v>173</v>
      </c>
      <c r="L56">
        <v>27.861464354527936</v>
      </c>
      <c r="M56">
        <f t="shared" si="0"/>
        <v>9.1431371016260101</v>
      </c>
      <c r="N56" s="5">
        <f t="shared" si="3"/>
        <v>9882.6674999999996</v>
      </c>
      <c r="O56">
        <f t="shared" si="1"/>
        <v>4820.0333333333328</v>
      </c>
      <c r="P56">
        <f t="shared" si="2"/>
        <v>27.861464354527936</v>
      </c>
      <c r="R56" s="5">
        <v>173</v>
      </c>
    </row>
    <row r="57" spans="1:18" x14ac:dyDescent="0.2">
      <c r="A57" s="6">
        <v>36800</v>
      </c>
      <c r="B57" s="5">
        <v>10148.995000000001</v>
      </c>
      <c r="C57">
        <v>2.7072289999999999</v>
      </c>
      <c r="D57">
        <v>2.7829913133333335</v>
      </c>
      <c r="E57">
        <v>3.9</v>
      </c>
      <c r="F57" s="2">
        <v>4891500000000</v>
      </c>
      <c r="G57">
        <v>42044639</v>
      </c>
      <c r="H57" s="5">
        <v>14229.764999999999</v>
      </c>
      <c r="I57" s="4">
        <v>66.3</v>
      </c>
      <c r="J57">
        <v>9434.3341949999995</v>
      </c>
      <c r="K57" s="5">
        <v>174.233</v>
      </c>
      <c r="L57">
        <v>28.074474984646997</v>
      </c>
      <c r="M57">
        <f t="shared" si="0"/>
        <v>9.1521108877450743</v>
      </c>
      <c r="N57" s="5">
        <f t="shared" si="3"/>
        <v>10003.629499999999</v>
      </c>
      <c r="O57">
        <f t="shared" si="1"/>
        <v>4891.5</v>
      </c>
      <c r="P57">
        <f t="shared" si="2"/>
        <v>28.074474984646994</v>
      </c>
      <c r="R57" s="5">
        <v>174.233</v>
      </c>
    </row>
    <row r="58" spans="1:18" x14ac:dyDescent="0.2">
      <c r="A58" s="6">
        <v>36892</v>
      </c>
      <c r="B58" s="5">
        <v>10229.861999999999</v>
      </c>
      <c r="C58">
        <v>3.1923715333333331</v>
      </c>
      <c r="D58">
        <v>2.2619138833333334</v>
      </c>
      <c r="E58">
        <v>4.2333333333333334</v>
      </c>
      <c r="F58" s="2">
        <v>5020600000000</v>
      </c>
      <c r="G58">
        <v>41881866</v>
      </c>
      <c r="H58" s="5">
        <v>14183.12</v>
      </c>
      <c r="I58" s="4">
        <v>66.8</v>
      </c>
      <c r="J58">
        <v>9474.3241600000001</v>
      </c>
      <c r="K58" s="5">
        <v>175.9</v>
      </c>
      <c r="L58">
        <v>28.542353610005684</v>
      </c>
      <c r="M58">
        <f t="shared" si="0"/>
        <v>9.1563406986467157</v>
      </c>
      <c r="N58" s="5">
        <f t="shared" si="3"/>
        <v>10102.627</v>
      </c>
      <c r="O58">
        <f t="shared" si="1"/>
        <v>5020.6000000000004</v>
      </c>
      <c r="P58">
        <f t="shared" si="2"/>
        <v>28.542353610005687</v>
      </c>
      <c r="R58" s="5">
        <v>175.9</v>
      </c>
    </row>
    <row r="59" spans="1:18" x14ac:dyDescent="0.2">
      <c r="A59" s="6">
        <v>36982</v>
      </c>
      <c r="B59" s="5">
        <v>10221.913</v>
      </c>
      <c r="C59">
        <v>1.9021318666666669</v>
      </c>
      <c r="D59">
        <v>2.3936192999999997</v>
      </c>
      <c r="E59">
        <v>4.3999999999999995</v>
      </c>
      <c r="F59" s="2">
        <v>5147466666666.667</v>
      </c>
      <c r="G59">
        <v>43130437</v>
      </c>
      <c r="H59" s="5">
        <v>14271.694</v>
      </c>
      <c r="I59" s="4">
        <v>66.400000000000006</v>
      </c>
      <c r="J59">
        <v>9476.4048160000002</v>
      </c>
      <c r="K59" s="5">
        <v>177.13300000000001</v>
      </c>
      <c r="L59">
        <v>29.059896612526558</v>
      </c>
      <c r="M59">
        <f t="shared" si="0"/>
        <v>9.1565602845012748</v>
      </c>
      <c r="N59" s="5">
        <f t="shared" si="3"/>
        <v>10170.55775</v>
      </c>
      <c r="O59">
        <f t="shared" si="1"/>
        <v>5147.4666666666672</v>
      </c>
      <c r="P59">
        <f t="shared" si="2"/>
        <v>29.059896612526558</v>
      </c>
      <c r="R59" s="5">
        <v>177.13300000000001</v>
      </c>
    </row>
    <row r="60" spans="1:18" x14ac:dyDescent="0.2">
      <c r="A60" s="6">
        <v>37073</v>
      </c>
      <c r="B60" s="5">
        <v>10455.450999999999</v>
      </c>
      <c r="C60">
        <v>1.1794149500000002</v>
      </c>
      <c r="D60">
        <v>2.3468322766666669</v>
      </c>
      <c r="E60">
        <v>4.833333333333333</v>
      </c>
      <c r="F60" s="2">
        <v>5263000000000</v>
      </c>
      <c r="G60">
        <v>42111097</v>
      </c>
      <c r="H60" s="5">
        <v>14214.516</v>
      </c>
      <c r="I60" s="4">
        <v>66.7</v>
      </c>
      <c r="J60">
        <v>9481.0821720000004</v>
      </c>
      <c r="K60" s="5">
        <v>177.63300000000001</v>
      </c>
      <c r="L60">
        <v>29.628503712711041</v>
      </c>
      <c r="M60">
        <f t="shared" si="0"/>
        <v>9.1570537418986486</v>
      </c>
      <c r="N60" s="5">
        <f t="shared" si="3"/>
        <v>10264.055249999999</v>
      </c>
      <c r="O60">
        <f t="shared" si="1"/>
        <v>5263</v>
      </c>
      <c r="P60">
        <f t="shared" si="2"/>
        <v>29.628503712711037</v>
      </c>
      <c r="R60" s="5">
        <v>177.63300000000001</v>
      </c>
    </row>
    <row r="61" spans="1:18" x14ac:dyDescent="0.2">
      <c r="A61" s="6">
        <v>37165</v>
      </c>
      <c r="B61" s="5">
        <v>10282.075000000001</v>
      </c>
      <c r="C61">
        <v>0.62769967666666671</v>
      </c>
      <c r="D61">
        <v>1.9474247599999999</v>
      </c>
      <c r="E61">
        <v>5.5</v>
      </c>
      <c r="F61" s="2">
        <v>5383900000000</v>
      </c>
      <c r="G61">
        <v>43628941</v>
      </c>
      <c r="H61" s="5">
        <v>14253.574000000001</v>
      </c>
      <c r="I61" s="4">
        <v>67.400000000000006</v>
      </c>
      <c r="J61">
        <v>9606.9088760000013</v>
      </c>
      <c r="K61" s="5">
        <v>177.5</v>
      </c>
      <c r="L61">
        <v>30.331830985915492</v>
      </c>
      <c r="M61">
        <f t="shared" si="0"/>
        <v>9.1702377931976891</v>
      </c>
      <c r="N61" s="5">
        <f t="shared" si="3"/>
        <v>10297.325250000002</v>
      </c>
      <c r="O61">
        <f t="shared" si="1"/>
        <v>5383.9</v>
      </c>
      <c r="P61">
        <f t="shared" si="2"/>
        <v>30.331830985915492</v>
      </c>
      <c r="R61" s="5">
        <v>177.5</v>
      </c>
    </row>
    <row r="62" spans="1:18" x14ac:dyDescent="0.2">
      <c r="A62" s="6">
        <v>37257</v>
      </c>
      <c r="B62" s="5">
        <v>10528.392</v>
      </c>
      <c r="C62">
        <v>0.90776110666666676</v>
      </c>
      <c r="D62">
        <v>2.4482878566666666</v>
      </c>
      <c r="E62">
        <v>5.7</v>
      </c>
      <c r="F62" s="2">
        <v>5477566666666.667</v>
      </c>
      <c r="G62">
        <v>44265754</v>
      </c>
      <c r="H62" s="5">
        <v>14372.785</v>
      </c>
      <c r="I62" s="4">
        <v>66.900000000000006</v>
      </c>
      <c r="J62">
        <v>9615.3931650000013</v>
      </c>
      <c r="K62" s="5">
        <v>178.06700000000001</v>
      </c>
      <c r="L62">
        <v>30.761267762508869</v>
      </c>
      <c r="M62">
        <f t="shared" si="0"/>
        <v>9.1711205479825058</v>
      </c>
      <c r="N62" s="5">
        <f t="shared" si="3"/>
        <v>10371.957750000001</v>
      </c>
      <c r="O62">
        <f t="shared" si="1"/>
        <v>5477.5666666666666</v>
      </c>
      <c r="P62">
        <f t="shared" si="2"/>
        <v>30.761267762508865</v>
      </c>
      <c r="R62" s="5">
        <v>178.06700000000001</v>
      </c>
    </row>
    <row r="63" spans="1:18" x14ac:dyDescent="0.2">
      <c r="A63" s="6">
        <v>37347</v>
      </c>
      <c r="B63" s="5">
        <v>10612.984</v>
      </c>
      <c r="C63">
        <v>0.36150418666666667</v>
      </c>
      <c r="D63">
        <v>2.4571800533333334</v>
      </c>
      <c r="E63">
        <v>5.833333333333333</v>
      </c>
      <c r="F63" s="2">
        <v>5521133333333.333</v>
      </c>
      <c r="G63">
        <v>43696402</v>
      </c>
      <c r="H63" s="5">
        <v>14460.848</v>
      </c>
      <c r="I63" s="4">
        <v>67.099999999999994</v>
      </c>
      <c r="J63">
        <v>9703.2290080000002</v>
      </c>
      <c r="K63" s="5">
        <v>179.46700000000001</v>
      </c>
      <c r="L63">
        <v>30.764058759177637</v>
      </c>
      <c r="M63">
        <f t="shared" si="0"/>
        <v>9.1802139965194289</v>
      </c>
      <c r="N63" s="5">
        <f t="shared" si="3"/>
        <v>10469.7255</v>
      </c>
      <c r="O63">
        <f t="shared" si="1"/>
        <v>5521.1333333333332</v>
      </c>
      <c r="P63">
        <f t="shared" si="2"/>
        <v>30.764058759177637</v>
      </c>
      <c r="R63" s="5">
        <v>179.46700000000001</v>
      </c>
    </row>
    <row r="64" spans="1:18" x14ac:dyDescent="0.2">
      <c r="A64" s="6">
        <v>37438</v>
      </c>
      <c r="B64" s="5">
        <v>10625.868</v>
      </c>
      <c r="C64">
        <v>0.14081936666666667</v>
      </c>
      <c r="D64">
        <v>1.7767664633333331</v>
      </c>
      <c r="E64">
        <v>5.7333333333333334</v>
      </c>
      <c r="F64" s="2">
        <v>5625566666666.667</v>
      </c>
      <c r="G64">
        <v>42596108</v>
      </c>
      <c r="H64" s="5">
        <v>14519.633</v>
      </c>
      <c r="I64" s="4">
        <v>67.3</v>
      </c>
      <c r="J64">
        <v>9771.7130089999991</v>
      </c>
      <c r="K64" s="5">
        <v>180.43299999999999</v>
      </c>
      <c r="L64">
        <v>31.178147382500246</v>
      </c>
      <c r="M64">
        <f t="shared" si="0"/>
        <v>9.1872470632398535</v>
      </c>
      <c r="N64" s="5">
        <f t="shared" si="3"/>
        <v>10512.329750000001</v>
      </c>
      <c r="O64">
        <f t="shared" si="1"/>
        <v>5625.5666666666666</v>
      </c>
      <c r="P64">
        <f t="shared" si="2"/>
        <v>31.178147382500246</v>
      </c>
      <c r="R64" s="5">
        <v>180.43299999999999</v>
      </c>
    </row>
    <row r="65" spans="1:18" x14ac:dyDescent="0.2">
      <c r="A65" s="6">
        <v>37530</v>
      </c>
      <c r="B65" s="5">
        <v>10690.885</v>
      </c>
      <c r="C65">
        <v>-0.17994168666666666</v>
      </c>
      <c r="D65">
        <v>1.4521787033333335</v>
      </c>
      <c r="E65">
        <v>5.8666666666666671</v>
      </c>
      <c r="F65" s="2">
        <v>5741000000000</v>
      </c>
      <c r="G65">
        <v>43454714</v>
      </c>
      <c r="H65" s="5">
        <v>14537.58</v>
      </c>
      <c r="I65" s="4">
        <v>67.599999999999994</v>
      </c>
      <c r="J65">
        <v>9827.4040800000002</v>
      </c>
      <c r="K65" s="5">
        <v>181.5</v>
      </c>
      <c r="L65">
        <v>31.630853994490359</v>
      </c>
      <c r="M65">
        <f t="shared" si="0"/>
        <v>9.1929300968820638</v>
      </c>
      <c r="N65" s="5">
        <f t="shared" si="3"/>
        <v>10614.53225</v>
      </c>
      <c r="O65">
        <f t="shared" si="1"/>
        <v>5741</v>
      </c>
      <c r="P65">
        <f t="shared" si="2"/>
        <v>31.630853994490359</v>
      </c>
      <c r="R65" s="5">
        <v>181.5</v>
      </c>
    </row>
    <row r="66" spans="1:18" x14ac:dyDescent="0.2">
      <c r="A66" s="6">
        <v>37622</v>
      </c>
      <c r="B66" s="5">
        <v>10693.57</v>
      </c>
      <c r="C66">
        <v>-0.18404371</v>
      </c>
      <c r="D66">
        <v>1.3927238966666666</v>
      </c>
      <c r="E66">
        <v>5.8666666666666671</v>
      </c>
      <c r="F66" s="2">
        <v>5835566666666.667</v>
      </c>
      <c r="G66">
        <v>43637690</v>
      </c>
      <c r="H66" s="5">
        <v>14614.141</v>
      </c>
      <c r="I66" s="4">
        <v>67.7</v>
      </c>
      <c r="J66">
        <v>9893.7734570000011</v>
      </c>
      <c r="K66" s="5">
        <v>183.36699999999999</v>
      </c>
      <c r="L66">
        <v>31.824519497328673</v>
      </c>
      <c r="M66">
        <f t="shared" si="0"/>
        <v>9.1996608945172262</v>
      </c>
      <c r="N66" s="5">
        <f t="shared" si="3"/>
        <v>10655.82675</v>
      </c>
      <c r="O66">
        <f t="shared" si="1"/>
        <v>5835.5666666666666</v>
      </c>
      <c r="P66">
        <f t="shared" si="2"/>
        <v>31.824519497328673</v>
      </c>
      <c r="R66" s="5">
        <v>183.36699999999999</v>
      </c>
    </row>
    <row r="67" spans="1:18" x14ac:dyDescent="0.2">
      <c r="A67" s="6">
        <v>37712</v>
      </c>
      <c r="B67" s="5">
        <v>10815.094999999999</v>
      </c>
      <c r="C67">
        <v>-0.41644626333333329</v>
      </c>
      <c r="D67">
        <v>1.1951517299999999</v>
      </c>
      <c r="E67">
        <v>6.1333333333333329</v>
      </c>
      <c r="F67" s="2">
        <v>5951366666666.667</v>
      </c>
      <c r="G67">
        <v>45458839</v>
      </c>
      <c r="H67" s="5">
        <v>14743.566999999999</v>
      </c>
      <c r="I67" s="4">
        <v>67.7</v>
      </c>
      <c r="J67">
        <v>9981.394859</v>
      </c>
      <c r="K67" s="5">
        <v>183.06700000000001</v>
      </c>
      <c r="L67">
        <v>32.509227040737365</v>
      </c>
      <c r="M67">
        <f t="shared" ref="M67:M130" si="4">LN(J67)</f>
        <v>9.2084781249700942</v>
      </c>
      <c r="N67" s="5">
        <f t="shared" si="3"/>
        <v>10706.354499999999</v>
      </c>
      <c r="O67">
        <f t="shared" ref="O67:O130" si="5">F67/10^9</f>
        <v>5951.3666666666668</v>
      </c>
      <c r="P67">
        <f t="shared" ref="P67:P130" si="6">O67/K67</f>
        <v>32.509227040737365</v>
      </c>
      <c r="R67" s="5">
        <v>183.06700000000001</v>
      </c>
    </row>
    <row r="68" spans="1:18" x14ac:dyDescent="0.2">
      <c r="A68" s="6">
        <v>37803</v>
      </c>
      <c r="B68" s="5">
        <v>10999.396000000001</v>
      </c>
      <c r="C68">
        <v>2.0259066666666666E-2</v>
      </c>
      <c r="D68">
        <v>1.59254389</v>
      </c>
      <c r="E68">
        <v>6.1333333333333329</v>
      </c>
      <c r="F68" s="2">
        <v>6072100000000</v>
      </c>
      <c r="G68">
        <v>46345730</v>
      </c>
      <c r="H68" s="5">
        <v>14988.781999999999</v>
      </c>
      <c r="I68" s="4">
        <v>67.599999999999994</v>
      </c>
      <c r="J68">
        <v>10132.416631999999</v>
      </c>
      <c r="K68" s="5">
        <v>184.43299999999999</v>
      </c>
      <c r="L68">
        <v>32.923066913187988</v>
      </c>
      <c r="M68">
        <f t="shared" si="4"/>
        <v>9.2234951306867252</v>
      </c>
      <c r="N68" s="5">
        <f t="shared" si="3"/>
        <v>10799.736500000001</v>
      </c>
      <c r="O68">
        <f t="shared" si="5"/>
        <v>6072.1</v>
      </c>
      <c r="P68">
        <f t="shared" si="6"/>
        <v>32.923066913187988</v>
      </c>
      <c r="R68" s="5">
        <v>184.43299999999999</v>
      </c>
    </row>
    <row r="69" spans="1:18" x14ac:dyDescent="0.2">
      <c r="A69" s="6">
        <v>37895</v>
      </c>
      <c r="B69" s="5">
        <v>11029.28</v>
      </c>
      <c r="C69">
        <v>-0.32072253333333334</v>
      </c>
      <c r="D69">
        <v>1.6027645566666664</v>
      </c>
      <c r="E69">
        <v>5.833333333333333</v>
      </c>
      <c r="F69" s="2">
        <v>6066666666666.667</v>
      </c>
      <c r="G69">
        <v>48161413</v>
      </c>
      <c r="H69" s="5">
        <v>15162.76</v>
      </c>
      <c r="I69" s="4">
        <v>67.2</v>
      </c>
      <c r="J69">
        <v>10189.37472</v>
      </c>
      <c r="K69" s="5">
        <v>185.13300000000001</v>
      </c>
      <c r="L69">
        <v>32.769234370245535</v>
      </c>
      <c r="M69">
        <f t="shared" si="4"/>
        <v>9.2291007622143137</v>
      </c>
      <c r="N69" s="5">
        <f t="shared" si="3"/>
        <v>10884.33525</v>
      </c>
      <c r="O69">
        <f t="shared" si="5"/>
        <v>6066.666666666667</v>
      </c>
      <c r="P69">
        <f t="shared" si="6"/>
        <v>32.769234370245535</v>
      </c>
      <c r="R69" s="5">
        <v>185.13300000000001</v>
      </c>
    </row>
    <row r="70" spans="1:18" x14ac:dyDescent="0.2">
      <c r="A70" s="6">
        <v>37987</v>
      </c>
      <c r="B70" s="5">
        <v>11079.226000000001</v>
      </c>
      <c r="C70">
        <v>-0.20112585999999999</v>
      </c>
      <c r="D70">
        <v>1.5812332533333333</v>
      </c>
      <c r="E70">
        <v>5.7</v>
      </c>
      <c r="F70" s="2">
        <v>6113300000000</v>
      </c>
      <c r="G70">
        <v>50553278</v>
      </c>
      <c r="H70" s="5">
        <v>15248.68</v>
      </c>
      <c r="I70" s="4">
        <v>67.5</v>
      </c>
      <c r="J70">
        <v>10292.859</v>
      </c>
      <c r="K70" s="5">
        <v>186.7</v>
      </c>
      <c r="L70">
        <v>32.743974290305303</v>
      </c>
      <c r="M70">
        <f t="shared" si="4"/>
        <v>9.2392056328025962</v>
      </c>
      <c r="N70" s="5">
        <f t="shared" ref="N70:N133" si="7">AVERAGE(B67:B70)</f>
        <v>10980.749250000001</v>
      </c>
      <c r="O70">
        <f t="shared" si="5"/>
        <v>6113.3</v>
      </c>
      <c r="P70">
        <f t="shared" si="6"/>
        <v>32.743974290305303</v>
      </c>
      <c r="R70" s="5">
        <v>186.7</v>
      </c>
    </row>
    <row r="71" spans="1:18" x14ac:dyDescent="0.2">
      <c r="A71" s="6">
        <v>38078</v>
      </c>
      <c r="B71" s="5">
        <v>11192.715</v>
      </c>
      <c r="C71">
        <v>-0.63716278000000004</v>
      </c>
      <c r="D71">
        <v>1.7293235599999999</v>
      </c>
      <c r="E71">
        <v>5.5999999999999988</v>
      </c>
      <c r="F71" s="2">
        <v>6243266666666.667</v>
      </c>
      <c r="G71">
        <v>51334047</v>
      </c>
      <c r="H71" s="5">
        <v>15366.85</v>
      </c>
      <c r="I71" s="4">
        <v>67.3</v>
      </c>
      <c r="J71">
        <v>10341.89005</v>
      </c>
      <c r="K71" s="5">
        <v>188.167</v>
      </c>
      <c r="L71">
        <v>33.179392064850198</v>
      </c>
      <c r="M71">
        <f t="shared" si="4"/>
        <v>9.2439579214937346</v>
      </c>
      <c r="N71" s="5">
        <f t="shared" si="7"/>
        <v>11075.15425</v>
      </c>
      <c r="O71">
        <f t="shared" si="5"/>
        <v>6243.2666666666673</v>
      </c>
      <c r="P71">
        <f t="shared" si="6"/>
        <v>33.179392064850198</v>
      </c>
      <c r="R71" s="5">
        <v>188.167</v>
      </c>
    </row>
    <row r="72" spans="1:18" x14ac:dyDescent="0.2">
      <c r="A72" s="6">
        <v>38169</v>
      </c>
      <c r="B72" s="5">
        <v>11264.886</v>
      </c>
      <c r="C72">
        <v>-0.75682138333333338</v>
      </c>
      <c r="D72">
        <v>1.7580976500000001</v>
      </c>
      <c r="E72">
        <v>5.4333333333333336</v>
      </c>
      <c r="F72" s="2">
        <v>6313400000000</v>
      </c>
      <c r="G72">
        <v>52467565</v>
      </c>
      <c r="H72" s="5">
        <v>15512.619000000001</v>
      </c>
      <c r="I72" s="4">
        <v>67.3</v>
      </c>
      <c r="J72">
        <v>10439.992587000001</v>
      </c>
      <c r="K72" s="5">
        <v>189.36699999999999</v>
      </c>
      <c r="L72">
        <v>33.33949420965638</v>
      </c>
      <c r="M72">
        <f t="shared" si="4"/>
        <v>9.2533991513789058</v>
      </c>
      <c r="N72" s="5">
        <f t="shared" si="7"/>
        <v>11141.526750000001</v>
      </c>
      <c r="O72">
        <f t="shared" si="5"/>
        <v>6313.4</v>
      </c>
      <c r="P72">
        <f t="shared" si="6"/>
        <v>33.33949420965638</v>
      </c>
      <c r="R72" s="5">
        <v>189.36699999999999</v>
      </c>
    </row>
    <row r="73" spans="1:18" x14ac:dyDescent="0.2">
      <c r="A73" s="6">
        <v>38261</v>
      </c>
      <c r="B73" s="5">
        <v>11396.02</v>
      </c>
      <c r="C73">
        <v>0.30751094666666667</v>
      </c>
      <c r="D73">
        <v>1.7347772266666668</v>
      </c>
      <c r="E73">
        <v>5.4333333333333336</v>
      </c>
      <c r="F73" s="2">
        <v>6397133333333.333</v>
      </c>
      <c r="G73">
        <v>54631119</v>
      </c>
      <c r="H73" s="5">
        <v>15670.88</v>
      </c>
      <c r="I73" s="4">
        <v>67.400000000000006</v>
      </c>
      <c r="J73">
        <v>10562.173120000001</v>
      </c>
      <c r="K73" s="5">
        <v>191.4</v>
      </c>
      <c r="L73">
        <v>33.422849181469871</v>
      </c>
      <c r="M73">
        <f t="shared" si="4"/>
        <v>9.2650343239676189</v>
      </c>
      <c r="N73" s="5">
        <f t="shared" si="7"/>
        <v>11233.211749999999</v>
      </c>
      <c r="O73">
        <f t="shared" si="5"/>
        <v>6397.1333333333332</v>
      </c>
      <c r="P73">
        <f t="shared" si="6"/>
        <v>33.422849181469871</v>
      </c>
      <c r="R73" s="5">
        <v>191.4</v>
      </c>
    </row>
    <row r="74" spans="1:18" x14ac:dyDescent="0.2">
      <c r="A74" s="6">
        <v>38353</v>
      </c>
      <c r="B74" s="5">
        <v>11241.419</v>
      </c>
      <c r="C74">
        <v>0.48485206333333331</v>
      </c>
      <c r="D74">
        <v>1.85725871</v>
      </c>
      <c r="E74">
        <v>5.3</v>
      </c>
      <c r="F74" s="2">
        <v>6433066666666.667</v>
      </c>
      <c r="G74">
        <v>55470378</v>
      </c>
      <c r="H74" s="5">
        <v>15844.727000000001</v>
      </c>
      <c r="I74" s="4">
        <v>67</v>
      </c>
      <c r="J74">
        <v>10615.96709</v>
      </c>
      <c r="K74" s="5">
        <v>192.36699999999999</v>
      </c>
      <c r="L74">
        <v>33.441633266967138</v>
      </c>
      <c r="M74">
        <f t="shared" si="4"/>
        <v>9.2701144759695602</v>
      </c>
      <c r="N74" s="5">
        <f t="shared" si="7"/>
        <v>11273.76</v>
      </c>
      <c r="O74">
        <f t="shared" si="5"/>
        <v>6433.0666666666666</v>
      </c>
      <c r="P74">
        <f t="shared" si="6"/>
        <v>33.441633266967138</v>
      </c>
      <c r="R74" s="5">
        <v>192.36699999999999</v>
      </c>
    </row>
    <row r="75" spans="1:18" x14ac:dyDescent="0.2">
      <c r="A75" s="6">
        <v>38443</v>
      </c>
      <c r="B75" s="5">
        <v>11344.156000000001</v>
      </c>
      <c r="C75">
        <v>0.65849409333333331</v>
      </c>
      <c r="D75">
        <v>1.8257602099999997</v>
      </c>
      <c r="E75">
        <v>5.1000000000000005</v>
      </c>
      <c r="F75" s="2">
        <v>6478333333333.333</v>
      </c>
      <c r="G75">
        <v>56935557</v>
      </c>
      <c r="H75" s="5">
        <v>15922.781999999999</v>
      </c>
      <c r="I75" s="4">
        <v>67.3</v>
      </c>
      <c r="J75">
        <v>10716.032285999998</v>
      </c>
      <c r="K75" s="5">
        <v>193.667</v>
      </c>
      <c r="L75">
        <v>33.450889069037743</v>
      </c>
      <c r="M75">
        <f t="shared" si="4"/>
        <v>9.2794962435378991</v>
      </c>
      <c r="N75" s="5">
        <f t="shared" si="7"/>
        <v>11311.620250000002</v>
      </c>
      <c r="O75">
        <f t="shared" si="5"/>
        <v>6478.333333333333</v>
      </c>
      <c r="P75">
        <f t="shared" si="6"/>
        <v>33.450889069037743</v>
      </c>
      <c r="R75" s="5">
        <v>193.667</v>
      </c>
    </row>
    <row r="76" spans="1:18" x14ac:dyDescent="0.2">
      <c r="A76" s="6">
        <v>38534</v>
      </c>
      <c r="B76" s="5">
        <v>11386.022000000001</v>
      </c>
      <c r="C76">
        <v>1.4459490333333331</v>
      </c>
      <c r="D76">
        <v>1.8546426733333334</v>
      </c>
      <c r="E76">
        <v>4.9666666666666668</v>
      </c>
      <c r="F76" s="2">
        <v>6570633333333.333</v>
      </c>
      <c r="G76">
        <v>58515982</v>
      </c>
      <c r="H76" s="5">
        <v>16047.587</v>
      </c>
      <c r="I76" s="4">
        <v>67.5</v>
      </c>
      <c r="J76">
        <v>10832.121225000001</v>
      </c>
      <c r="K76" s="5">
        <v>196.6</v>
      </c>
      <c r="L76">
        <v>33.421329264157343</v>
      </c>
      <c r="M76">
        <f t="shared" si="4"/>
        <v>9.2902711864668337</v>
      </c>
      <c r="N76" s="5">
        <f t="shared" si="7"/>
        <v>11341.90425</v>
      </c>
      <c r="O76">
        <f t="shared" si="5"/>
        <v>6570.6333333333332</v>
      </c>
      <c r="P76">
        <f t="shared" si="6"/>
        <v>33.421329264157343</v>
      </c>
      <c r="R76" s="5">
        <v>196.6</v>
      </c>
    </row>
    <row r="77" spans="1:18" x14ac:dyDescent="0.2">
      <c r="A77" s="6">
        <v>38626</v>
      </c>
      <c r="B77" s="5">
        <v>11487.984</v>
      </c>
      <c r="C77">
        <v>1.10665087</v>
      </c>
      <c r="D77">
        <v>2.0203603733333337</v>
      </c>
      <c r="E77">
        <v>4.9666666666666668</v>
      </c>
      <c r="F77" s="2">
        <v>6658500000000</v>
      </c>
      <c r="G77">
        <v>59843789</v>
      </c>
      <c r="H77" s="5">
        <v>16136.734</v>
      </c>
      <c r="I77" s="4">
        <v>67.2</v>
      </c>
      <c r="J77">
        <v>10843.885248000001</v>
      </c>
      <c r="K77" s="5">
        <v>198.43299999999999</v>
      </c>
      <c r="L77">
        <v>33.555406610795586</v>
      </c>
      <c r="M77">
        <f t="shared" si="4"/>
        <v>9.2913566284895293</v>
      </c>
      <c r="N77" s="5">
        <f t="shared" si="7"/>
        <v>11364.895250000001</v>
      </c>
      <c r="O77">
        <f t="shared" si="5"/>
        <v>6658.5</v>
      </c>
      <c r="P77">
        <f t="shared" si="6"/>
        <v>33.555406610795586</v>
      </c>
      <c r="R77" s="5">
        <v>198.43299999999999</v>
      </c>
    </row>
    <row r="78" spans="1:18" x14ac:dyDescent="0.2">
      <c r="A78" s="6">
        <v>38718</v>
      </c>
      <c r="B78" s="5">
        <v>11700.733</v>
      </c>
      <c r="C78">
        <v>2.4630775333333332</v>
      </c>
      <c r="D78">
        <v>2.2176251266666669</v>
      </c>
      <c r="E78">
        <v>4.7333333333333334</v>
      </c>
      <c r="F78" s="2">
        <v>6745266666666.667</v>
      </c>
      <c r="G78">
        <v>61654272</v>
      </c>
      <c r="H78" s="5">
        <v>16353.834999999999</v>
      </c>
      <c r="I78" s="4">
        <v>66.900000000000006</v>
      </c>
      <c r="J78">
        <v>10940.715615000001</v>
      </c>
      <c r="K78" s="5">
        <v>199.46700000000001</v>
      </c>
      <c r="L78">
        <v>33.816454183732986</v>
      </c>
      <c r="M78">
        <f t="shared" si="4"/>
        <v>9.3002464865423224</v>
      </c>
      <c r="N78" s="5">
        <f t="shared" si="7"/>
        <v>11479.723749999999</v>
      </c>
      <c r="O78">
        <f t="shared" si="5"/>
        <v>6745.2666666666673</v>
      </c>
      <c r="P78">
        <f t="shared" si="6"/>
        <v>33.816454183732986</v>
      </c>
      <c r="R78" s="5">
        <v>199.46700000000001</v>
      </c>
    </row>
    <row r="79" spans="1:18" x14ac:dyDescent="0.2">
      <c r="A79" s="6">
        <v>38808</v>
      </c>
      <c r="B79" s="5">
        <v>11744.34</v>
      </c>
      <c r="C79">
        <v>2.2568493000000003</v>
      </c>
      <c r="D79">
        <v>2.405191013333333</v>
      </c>
      <c r="E79">
        <v>4.6333333333333337</v>
      </c>
      <c r="F79" s="2">
        <v>6817300000000</v>
      </c>
      <c r="G79">
        <v>61807282</v>
      </c>
      <c r="H79" s="5">
        <v>16396.151000000002</v>
      </c>
      <c r="I79" s="4">
        <v>67.099999999999994</v>
      </c>
      <c r="J79">
        <v>11001.817320999999</v>
      </c>
      <c r="K79" s="5">
        <v>201.267</v>
      </c>
      <c r="L79">
        <v>33.871921378069928</v>
      </c>
      <c r="M79">
        <f t="shared" si="4"/>
        <v>9.3058157491346734</v>
      </c>
      <c r="N79" s="5">
        <f t="shared" si="7"/>
        <v>11579.769749999999</v>
      </c>
      <c r="O79">
        <f t="shared" si="5"/>
        <v>6817.3</v>
      </c>
      <c r="P79">
        <f t="shared" si="6"/>
        <v>33.871921378069928</v>
      </c>
      <c r="R79" s="5">
        <v>201.267</v>
      </c>
    </row>
    <row r="80" spans="1:18" x14ac:dyDescent="0.2">
      <c r="A80" s="6">
        <v>38899</v>
      </c>
      <c r="B80" s="5">
        <v>11761.357</v>
      </c>
      <c r="C80">
        <v>2.3625412666666663</v>
      </c>
      <c r="D80">
        <v>2.3335642733333333</v>
      </c>
      <c r="E80">
        <v>4.6333333333333337</v>
      </c>
      <c r="F80" s="2">
        <v>6915866666666.667</v>
      </c>
      <c r="G80">
        <v>62813573</v>
      </c>
      <c r="H80" s="5">
        <v>16420.738000000001</v>
      </c>
      <c r="I80" s="4">
        <v>67.400000000000006</v>
      </c>
      <c r="J80">
        <v>11067.577412000002</v>
      </c>
      <c r="K80" s="5">
        <v>203.167</v>
      </c>
      <c r="L80">
        <v>34.040305102042495</v>
      </c>
      <c r="M80">
        <f t="shared" si="4"/>
        <v>9.3117751591153795</v>
      </c>
      <c r="N80" s="5">
        <f t="shared" si="7"/>
        <v>11673.603500000001</v>
      </c>
      <c r="O80">
        <f t="shared" si="5"/>
        <v>6915.8666666666668</v>
      </c>
      <c r="P80">
        <f t="shared" si="6"/>
        <v>34.040305102042488</v>
      </c>
      <c r="R80" s="5">
        <v>203.167</v>
      </c>
    </row>
    <row r="81" spans="1:18" x14ac:dyDescent="0.2">
      <c r="A81" s="6">
        <v>38991</v>
      </c>
      <c r="B81" s="5">
        <v>11904.732</v>
      </c>
      <c r="C81">
        <v>3.2088561666666671</v>
      </c>
      <c r="D81">
        <v>2.1780284166666664</v>
      </c>
      <c r="E81">
        <v>4.4333333333333336</v>
      </c>
      <c r="F81" s="2">
        <v>7031100000000</v>
      </c>
      <c r="G81">
        <v>64177187</v>
      </c>
      <c r="H81" s="5">
        <v>16561.866000000002</v>
      </c>
      <c r="I81" s="4">
        <v>67.099999999999994</v>
      </c>
      <c r="J81">
        <v>11113.012086000001</v>
      </c>
      <c r="K81" s="5">
        <v>202.333</v>
      </c>
      <c r="L81">
        <v>34.750139621317331</v>
      </c>
      <c r="M81">
        <f t="shared" si="4"/>
        <v>9.3158719607401714</v>
      </c>
      <c r="N81" s="5">
        <f t="shared" si="7"/>
        <v>11777.790499999999</v>
      </c>
      <c r="O81">
        <f t="shared" si="5"/>
        <v>7031.1</v>
      </c>
      <c r="P81">
        <f t="shared" si="6"/>
        <v>34.750139621317338</v>
      </c>
      <c r="R81" s="5">
        <v>202.333</v>
      </c>
    </row>
    <row r="82" spans="1:18" x14ac:dyDescent="0.2">
      <c r="A82" s="6">
        <v>39083</v>
      </c>
      <c r="B82" s="5">
        <v>11995.959000000001</v>
      </c>
      <c r="C82">
        <v>2.2860480333333335</v>
      </c>
      <c r="D82">
        <v>2.1534043666666665</v>
      </c>
      <c r="E82">
        <v>4.5</v>
      </c>
      <c r="F82" s="2">
        <v>7131333333333.333</v>
      </c>
      <c r="G82">
        <v>65040005</v>
      </c>
      <c r="H82" s="5">
        <v>16611.689999999999</v>
      </c>
      <c r="I82" s="4">
        <v>67.3</v>
      </c>
      <c r="J82">
        <v>11179.667369999999</v>
      </c>
      <c r="K82" s="5">
        <v>204.31700000000001</v>
      </c>
      <c r="L82">
        <v>34.903279381222966</v>
      </c>
      <c r="M82">
        <f t="shared" si="4"/>
        <v>9.3218519940303484</v>
      </c>
      <c r="N82" s="5">
        <f t="shared" si="7"/>
        <v>11851.597000000002</v>
      </c>
      <c r="O82">
        <f t="shared" si="5"/>
        <v>7131.333333333333</v>
      </c>
      <c r="P82">
        <f t="shared" si="6"/>
        <v>34.903279381222966</v>
      </c>
      <c r="R82" s="5">
        <v>204.31700000000001</v>
      </c>
    </row>
    <row r="83" spans="1:18" x14ac:dyDescent="0.2">
      <c r="A83" s="6">
        <v>39173</v>
      </c>
      <c r="B83" s="5">
        <v>12055.316000000001</v>
      </c>
      <c r="C83">
        <v>1.5338886333333333</v>
      </c>
      <c r="D83">
        <v>2.1185469266666668</v>
      </c>
      <c r="E83">
        <v>4.5</v>
      </c>
      <c r="F83" s="2">
        <v>7251766666666.667</v>
      </c>
      <c r="G83">
        <v>65652983</v>
      </c>
      <c r="H83" s="5">
        <v>16713.313999999998</v>
      </c>
      <c r="I83" s="4">
        <v>67.2</v>
      </c>
      <c r="J83">
        <v>11231.347008000001</v>
      </c>
      <c r="K83" s="5">
        <v>206.631</v>
      </c>
      <c r="L83">
        <v>35.095250309327582</v>
      </c>
      <c r="M83">
        <f t="shared" si="4"/>
        <v>9.3264639878234483</v>
      </c>
      <c r="N83" s="5">
        <f t="shared" si="7"/>
        <v>11929.341</v>
      </c>
      <c r="O83">
        <f t="shared" si="5"/>
        <v>7251.7666666666673</v>
      </c>
      <c r="P83">
        <f t="shared" si="6"/>
        <v>35.095250309327582</v>
      </c>
      <c r="R83" s="5">
        <v>206.631</v>
      </c>
    </row>
    <row r="84" spans="1:18" x14ac:dyDescent="0.2">
      <c r="A84" s="6">
        <v>39264</v>
      </c>
      <c r="B84" s="5">
        <v>12075.627</v>
      </c>
      <c r="C84">
        <v>1.9481731333333334</v>
      </c>
      <c r="D84">
        <v>2.1512255900000001</v>
      </c>
      <c r="E84">
        <v>4.666666666666667</v>
      </c>
      <c r="F84" s="2">
        <v>7365766666666.667</v>
      </c>
      <c r="G84">
        <v>66418332</v>
      </c>
      <c r="H84" s="5">
        <v>16809.587</v>
      </c>
      <c r="I84" s="4">
        <v>67.3</v>
      </c>
      <c r="J84">
        <v>11312.852051</v>
      </c>
      <c r="K84" s="5">
        <v>207.93899999999999</v>
      </c>
      <c r="L84">
        <v>35.422728139823057</v>
      </c>
      <c r="M84">
        <f t="shared" si="4"/>
        <v>9.3336947080543347</v>
      </c>
      <c r="N84" s="5">
        <f t="shared" si="7"/>
        <v>12007.9085</v>
      </c>
      <c r="O84">
        <f t="shared" si="5"/>
        <v>7365.7666666666673</v>
      </c>
      <c r="P84">
        <f t="shared" si="6"/>
        <v>35.422728139823064</v>
      </c>
      <c r="R84" s="5">
        <v>207.93899999999999</v>
      </c>
    </row>
    <row r="85" spans="1:18" x14ac:dyDescent="0.2">
      <c r="A85" s="6">
        <v>39356</v>
      </c>
      <c r="B85" s="5">
        <v>12090.325999999999</v>
      </c>
      <c r="C85">
        <v>1.7983753666666666</v>
      </c>
      <c r="D85">
        <v>1.73411005</v>
      </c>
      <c r="E85">
        <v>4.8</v>
      </c>
      <c r="F85" s="2">
        <v>7443533333333.333</v>
      </c>
      <c r="G85">
        <v>65657648</v>
      </c>
      <c r="H85" s="5">
        <v>16915.190999999999</v>
      </c>
      <c r="I85" s="4">
        <v>67.5</v>
      </c>
      <c r="J85">
        <v>11417.753924999999</v>
      </c>
      <c r="K85" s="5">
        <v>210.49</v>
      </c>
      <c r="L85">
        <v>35.362883430725134</v>
      </c>
      <c r="M85">
        <f t="shared" si="4"/>
        <v>9.3429247847943326</v>
      </c>
      <c r="N85" s="5">
        <f t="shared" si="7"/>
        <v>12054.307000000001</v>
      </c>
      <c r="O85">
        <f t="shared" si="5"/>
        <v>7443.5333333333328</v>
      </c>
      <c r="P85">
        <f t="shared" si="6"/>
        <v>35.362883430725127</v>
      </c>
      <c r="R85" s="5">
        <v>210.49</v>
      </c>
    </row>
    <row r="86" spans="1:18" x14ac:dyDescent="0.2">
      <c r="A86" s="6">
        <v>39448</v>
      </c>
      <c r="B86" s="5">
        <v>12141.632</v>
      </c>
      <c r="C86">
        <v>0.68387997</v>
      </c>
      <c r="D86">
        <v>1.1786112066666667</v>
      </c>
      <c r="E86">
        <v>5</v>
      </c>
      <c r="F86" s="2">
        <v>7584100000000</v>
      </c>
      <c r="G86">
        <v>63739429</v>
      </c>
      <c r="H86" s="5">
        <v>16843.003000000001</v>
      </c>
      <c r="I86" s="4">
        <v>68</v>
      </c>
      <c r="J86">
        <v>11453.242040000001</v>
      </c>
      <c r="K86" s="5">
        <v>212.77</v>
      </c>
      <c r="L86">
        <v>35.644592752737701</v>
      </c>
      <c r="M86">
        <f t="shared" si="4"/>
        <v>9.3460281165019232</v>
      </c>
      <c r="N86" s="5">
        <f t="shared" si="7"/>
        <v>12090.72525</v>
      </c>
      <c r="O86">
        <f t="shared" si="5"/>
        <v>7584.1</v>
      </c>
      <c r="P86">
        <f t="shared" si="6"/>
        <v>35.644592752737701</v>
      </c>
      <c r="R86" s="5">
        <v>212.77</v>
      </c>
    </row>
    <row r="87" spans="1:18" x14ac:dyDescent="0.2">
      <c r="A87" s="6">
        <v>39539</v>
      </c>
      <c r="B87" s="5">
        <v>12391.597</v>
      </c>
      <c r="C87">
        <v>-0.22560473</v>
      </c>
      <c r="D87">
        <v>1.3169881733333335</v>
      </c>
      <c r="E87">
        <v>5.333333333333333</v>
      </c>
      <c r="F87" s="2">
        <v>7713100000000</v>
      </c>
      <c r="G87">
        <v>62715259</v>
      </c>
      <c r="H87" s="5">
        <v>16943.291000000001</v>
      </c>
      <c r="I87" s="4">
        <v>68.099999999999994</v>
      </c>
      <c r="J87">
        <v>11538.381170999999</v>
      </c>
      <c r="K87" s="5">
        <v>215.53800000000001</v>
      </c>
      <c r="L87">
        <v>35.785337156325106</v>
      </c>
      <c r="M87">
        <f t="shared" si="4"/>
        <v>9.3534342504125991</v>
      </c>
      <c r="N87" s="5">
        <f t="shared" si="7"/>
        <v>12174.7955</v>
      </c>
      <c r="O87">
        <f t="shared" si="5"/>
        <v>7713.1</v>
      </c>
      <c r="P87">
        <f t="shared" si="6"/>
        <v>35.785337156325106</v>
      </c>
      <c r="R87" s="5">
        <v>215.53800000000001</v>
      </c>
    </row>
    <row r="88" spans="1:18" x14ac:dyDescent="0.2">
      <c r="A88" s="6">
        <v>39630</v>
      </c>
      <c r="B88" s="5">
        <v>12152.791999999999</v>
      </c>
      <c r="C88">
        <v>-1.10238488</v>
      </c>
      <c r="D88">
        <v>1.3472177133333334</v>
      </c>
      <c r="E88">
        <v>6</v>
      </c>
      <c r="F88" s="2">
        <v>7808366666666.667</v>
      </c>
      <c r="G88">
        <v>60402938</v>
      </c>
      <c r="H88" s="5">
        <v>16854.294999999998</v>
      </c>
      <c r="I88" s="4">
        <v>68.2</v>
      </c>
      <c r="J88">
        <v>11494.62919</v>
      </c>
      <c r="K88" s="5">
        <v>218.86099999999999</v>
      </c>
      <c r="L88">
        <v>35.677286801516338</v>
      </c>
      <c r="M88">
        <f t="shared" si="4"/>
        <v>9.3496351783037639</v>
      </c>
      <c r="N88" s="5">
        <f t="shared" si="7"/>
        <v>12194.08675</v>
      </c>
      <c r="O88">
        <f t="shared" si="5"/>
        <v>7808.3666666666668</v>
      </c>
      <c r="P88">
        <f t="shared" si="6"/>
        <v>35.677286801516338</v>
      </c>
      <c r="R88" s="5">
        <v>218.86099999999999</v>
      </c>
    </row>
    <row r="89" spans="1:18" x14ac:dyDescent="0.2">
      <c r="A89" s="6">
        <v>39722</v>
      </c>
      <c r="B89" s="5">
        <v>12291.353999999999</v>
      </c>
      <c r="C89">
        <v>2.1758813666666668</v>
      </c>
      <c r="D89">
        <v>1.3640239000000001</v>
      </c>
      <c r="E89">
        <v>6.8666666666666671</v>
      </c>
      <c r="F89" s="2">
        <v>8057733333333.333</v>
      </c>
      <c r="G89">
        <v>57432081</v>
      </c>
      <c r="H89" s="5">
        <v>16485.349999999999</v>
      </c>
      <c r="I89" s="4">
        <v>67.8</v>
      </c>
      <c r="J89">
        <v>11177.067299999997</v>
      </c>
      <c r="K89" s="5">
        <v>213.84899999999999</v>
      </c>
      <c r="L89">
        <v>37.67954647126399</v>
      </c>
      <c r="M89">
        <f t="shared" si="4"/>
        <v>9.3216193956612123</v>
      </c>
      <c r="N89" s="5">
        <f t="shared" si="7"/>
        <v>12244.34375</v>
      </c>
      <c r="O89">
        <f t="shared" si="5"/>
        <v>8057.7333333333327</v>
      </c>
      <c r="P89">
        <f t="shared" si="6"/>
        <v>37.67954647126399</v>
      </c>
      <c r="R89" s="5">
        <v>213.84899999999999</v>
      </c>
    </row>
    <row r="90" spans="1:18" x14ac:dyDescent="0.2">
      <c r="A90" s="6">
        <v>39814</v>
      </c>
      <c r="B90" s="5">
        <v>12282.013999999999</v>
      </c>
      <c r="C90">
        <v>2.4503429999999997</v>
      </c>
      <c r="D90">
        <v>1.0761964333333334</v>
      </c>
      <c r="E90">
        <v>8.2666666666666675</v>
      </c>
      <c r="F90" s="2">
        <v>8315366666666.667</v>
      </c>
      <c r="G90">
        <v>55696490</v>
      </c>
      <c r="H90" s="5">
        <v>16298.262000000001</v>
      </c>
      <c r="I90" s="4">
        <v>68</v>
      </c>
      <c r="J90">
        <v>11082.818160000001</v>
      </c>
      <c r="K90" s="5">
        <v>212.37799999999999</v>
      </c>
      <c r="L90">
        <v>39.15361603681486</v>
      </c>
      <c r="M90">
        <f t="shared" si="4"/>
        <v>9.3131512745310676</v>
      </c>
      <c r="N90" s="5">
        <f t="shared" si="7"/>
        <v>12279.439249999999</v>
      </c>
      <c r="O90">
        <f t="shared" si="5"/>
        <v>8315.3666666666668</v>
      </c>
      <c r="P90">
        <f t="shared" si="6"/>
        <v>39.153616036814867</v>
      </c>
      <c r="R90" s="5">
        <v>212.37799999999999</v>
      </c>
    </row>
    <row r="91" spans="1:18" x14ac:dyDescent="0.2">
      <c r="A91" s="6">
        <v>39904</v>
      </c>
      <c r="B91" s="5">
        <v>12364.246999999999</v>
      </c>
      <c r="C91">
        <v>0.20863720666666666</v>
      </c>
      <c r="D91">
        <v>1.0174453699999999</v>
      </c>
      <c r="E91">
        <v>9.2999999999999989</v>
      </c>
      <c r="F91" s="2">
        <v>8414700000000</v>
      </c>
      <c r="G91">
        <v>56366720</v>
      </c>
      <c r="H91" s="5">
        <v>16269.145</v>
      </c>
      <c r="I91" s="4">
        <v>68.2</v>
      </c>
      <c r="J91">
        <v>11095.55689</v>
      </c>
      <c r="K91" s="5">
        <v>213.50700000000001</v>
      </c>
      <c r="L91">
        <v>39.411822563194647</v>
      </c>
      <c r="M91">
        <f t="shared" si="4"/>
        <v>9.31430002698675</v>
      </c>
      <c r="N91" s="5">
        <f t="shared" si="7"/>
        <v>12272.601750000002</v>
      </c>
      <c r="O91">
        <f t="shared" si="5"/>
        <v>8414.7000000000007</v>
      </c>
      <c r="P91">
        <f t="shared" si="6"/>
        <v>39.411822563194654</v>
      </c>
      <c r="R91" s="5">
        <v>213.50700000000001</v>
      </c>
    </row>
    <row r="92" spans="1:18" x14ac:dyDescent="0.2">
      <c r="A92" s="6">
        <v>39995</v>
      </c>
      <c r="B92" s="5">
        <v>12214.675999999999</v>
      </c>
      <c r="C92">
        <v>-0.98495100666666657</v>
      </c>
      <c r="D92">
        <v>1.1250602766666666</v>
      </c>
      <c r="E92">
        <v>9.6333333333333346</v>
      </c>
      <c r="F92" s="2">
        <v>8444766666666.667</v>
      </c>
      <c r="G92">
        <v>58118799</v>
      </c>
      <c r="H92" s="5">
        <v>16326.281000000001</v>
      </c>
      <c r="I92" s="4">
        <v>68.8</v>
      </c>
      <c r="J92">
        <v>11232.481328</v>
      </c>
      <c r="K92" s="5">
        <v>215.34399999999999</v>
      </c>
      <c r="L92">
        <v>39.215240111944922</v>
      </c>
      <c r="M92">
        <f t="shared" si="4"/>
        <v>9.3265649786237699</v>
      </c>
      <c r="N92" s="5">
        <f t="shared" si="7"/>
        <v>12288.072749999999</v>
      </c>
      <c r="O92">
        <f t="shared" si="5"/>
        <v>8444.7666666666664</v>
      </c>
      <c r="P92">
        <f t="shared" si="6"/>
        <v>39.215240111944922</v>
      </c>
      <c r="R92" s="5">
        <v>215.34399999999999</v>
      </c>
    </row>
    <row r="93" spans="1:18" x14ac:dyDescent="0.2">
      <c r="A93" s="6">
        <v>40087</v>
      </c>
      <c r="B93" s="5">
        <v>12232.605</v>
      </c>
      <c r="C93">
        <v>-1.01170224</v>
      </c>
      <c r="D93">
        <v>0.9688639200000001</v>
      </c>
      <c r="E93">
        <v>9.9333333333333318</v>
      </c>
      <c r="F93" s="2">
        <v>8489300000000</v>
      </c>
      <c r="G93">
        <v>58319588</v>
      </c>
      <c r="H93" s="5">
        <v>16502.754000000001</v>
      </c>
      <c r="I93" s="4">
        <v>68.3</v>
      </c>
      <c r="J93">
        <v>11271.380982000001</v>
      </c>
      <c r="K93" s="5">
        <v>217.03</v>
      </c>
      <c r="L93">
        <v>39.115790443717458</v>
      </c>
      <c r="M93">
        <f t="shared" si="4"/>
        <v>9.330022135640462</v>
      </c>
      <c r="N93" s="5">
        <f t="shared" si="7"/>
        <v>12273.3855</v>
      </c>
      <c r="O93">
        <f t="shared" si="5"/>
        <v>8489.2999999999993</v>
      </c>
      <c r="P93">
        <f t="shared" si="6"/>
        <v>39.115790443717458</v>
      </c>
      <c r="R93" s="5">
        <v>217.03</v>
      </c>
    </row>
    <row r="94" spans="1:18" x14ac:dyDescent="0.2">
      <c r="A94" s="6">
        <v>40179</v>
      </c>
      <c r="B94" s="5">
        <v>12306.043</v>
      </c>
      <c r="C94">
        <v>-1.1659276233333333</v>
      </c>
      <c r="D94">
        <v>1.1403906000000001</v>
      </c>
      <c r="E94">
        <v>9.8333333333333339</v>
      </c>
      <c r="F94" s="2">
        <v>8490000000000</v>
      </c>
      <c r="G94">
        <v>59438904</v>
      </c>
      <c r="H94" s="5">
        <v>16582.71</v>
      </c>
      <c r="I94" s="4">
        <v>68.400000000000006</v>
      </c>
      <c r="J94">
        <v>11342.573640000001</v>
      </c>
      <c r="K94" s="5">
        <v>217.374</v>
      </c>
      <c r="L94">
        <v>39.057108945872095</v>
      </c>
      <c r="M94">
        <f t="shared" si="4"/>
        <v>9.3363185039128993</v>
      </c>
      <c r="N94" s="5">
        <f t="shared" si="7"/>
        <v>12279.392749999999</v>
      </c>
      <c r="O94">
        <f t="shared" si="5"/>
        <v>8490</v>
      </c>
      <c r="P94">
        <f t="shared" si="6"/>
        <v>39.057108945872095</v>
      </c>
      <c r="R94" s="5">
        <v>217.374</v>
      </c>
    </row>
    <row r="95" spans="1:18" x14ac:dyDescent="0.2">
      <c r="A95" s="6">
        <v>40269</v>
      </c>
      <c r="B95" s="5">
        <v>12510.578</v>
      </c>
      <c r="C95">
        <v>-0.44433184000000003</v>
      </c>
      <c r="D95">
        <v>1.18495138</v>
      </c>
      <c r="E95">
        <v>9.6333333333333329</v>
      </c>
      <c r="F95" s="2">
        <v>8578033333333.333</v>
      </c>
      <c r="G95">
        <v>58749414</v>
      </c>
      <c r="H95" s="5">
        <v>16743.162</v>
      </c>
      <c r="I95" s="4">
        <v>68.099999999999994</v>
      </c>
      <c r="J95">
        <v>11402.093321999999</v>
      </c>
      <c r="K95" s="5">
        <v>217.297</v>
      </c>
      <c r="L95">
        <v>39.476078055994023</v>
      </c>
      <c r="M95">
        <f t="shared" si="4"/>
        <v>9.3415522422624697</v>
      </c>
      <c r="N95" s="5">
        <f t="shared" si="7"/>
        <v>12315.9755</v>
      </c>
      <c r="O95">
        <f t="shared" si="5"/>
        <v>8578.0333333333328</v>
      </c>
      <c r="P95">
        <f t="shared" si="6"/>
        <v>39.476078055994023</v>
      </c>
      <c r="R95" s="5">
        <v>217.297</v>
      </c>
    </row>
    <row r="96" spans="1:18" x14ac:dyDescent="0.2">
      <c r="A96" s="6">
        <v>40360</v>
      </c>
      <c r="B96" s="5">
        <v>12578.496999999999</v>
      </c>
      <c r="C96">
        <v>-0.29786952666666666</v>
      </c>
      <c r="D96">
        <v>0.6933302366666666</v>
      </c>
      <c r="E96">
        <v>9.4666666666666668</v>
      </c>
      <c r="F96" s="2">
        <v>8662666666666.667</v>
      </c>
      <c r="G96">
        <v>60750609</v>
      </c>
      <c r="H96" s="5">
        <v>16872.266</v>
      </c>
      <c r="I96" s="4">
        <v>68</v>
      </c>
      <c r="J96">
        <v>11473.140879999999</v>
      </c>
      <c r="K96" s="5">
        <v>217.934</v>
      </c>
      <c r="L96">
        <v>39.749037170274796</v>
      </c>
      <c r="M96">
        <f t="shared" si="4"/>
        <v>9.3477640069881129</v>
      </c>
      <c r="N96" s="5">
        <f t="shared" si="7"/>
        <v>12406.93075</v>
      </c>
      <c r="O96">
        <f t="shared" si="5"/>
        <v>8662.6666666666679</v>
      </c>
      <c r="P96">
        <f t="shared" si="6"/>
        <v>39.749037170274796</v>
      </c>
      <c r="R96" s="5">
        <v>217.934</v>
      </c>
    </row>
    <row r="97" spans="1:18" x14ac:dyDescent="0.2">
      <c r="A97" s="6">
        <v>40452</v>
      </c>
      <c r="B97" s="5">
        <v>12626.116</v>
      </c>
      <c r="C97">
        <v>-1.0348827033333334</v>
      </c>
      <c r="D97">
        <v>0.45796802666666664</v>
      </c>
      <c r="E97">
        <v>9.5000000000000018</v>
      </c>
      <c r="F97" s="2">
        <v>8773733333333.333</v>
      </c>
      <c r="G97">
        <v>62337719</v>
      </c>
      <c r="H97" s="5">
        <v>16960.864000000001</v>
      </c>
      <c r="I97" s="4">
        <v>68.099999999999994</v>
      </c>
      <c r="J97">
        <v>11550.348384000001</v>
      </c>
      <c r="K97" s="5">
        <v>219.69900000000001</v>
      </c>
      <c r="L97">
        <v>39.935244736358989</v>
      </c>
      <c r="M97">
        <f t="shared" si="4"/>
        <v>9.3544708786119255</v>
      </c>
      <c r="N97" s="5">
        <f t="shared" si="7"/>
        <v>12505.308500000001</v>
      </c>
      <c r="O97">
        <f t="shared" si="5"/>
        <v>8773.7333333333336</v>
      </c>
      <c r="P97">
        <f t="shared" si="6"/>
        <v>39.935244736358989</v>
      </c>
      <c r="R97" s="5">
        <v>219.69900000000001</v>
      </c>
    </row>
    <row r="98" spans="1:18" x14ac:dyDescent="0.2">
      <c r="A98" s="6">
        <v>40544</v>
      </c>
      <c r="B98" s="5">
        <v>12753.088</v>
      </c>
      <c r="C98">
        <v>-1.3385378000000001</v>
      </c>
      <c r="D98">
        <v>0.85583840666666655</v>
      </c>
      <c r="E98">
        <v>9.0333333333333332</v>
      </c>
      <c r="F98" s="2">
        <v>8884500000000</v>
      </c>
      <c r="G98">
        <v>63392316</v>
      </c>
      <c r="H98" s="5">
        <v>16920.632000000001</v>
      </c>
      <c r="I98" s="4">
        <v>68.8</v>
      </c>
      <c r="J98">
        <v>11641.394816</v>
      </c>
      <c r="K98" s="5">
        <v>222.04400000000001</v>
      </c>
      <c r="L98">
        <v>40.012339896597069</v>
      </c>
      <c r="M98">
        <f t="shared" si="4"/>
        <v>9.3623225436597064</v>
      </c>
      <c r="N98" s="5">
        <f t="shared" si="7"/>
        <v>12617.069749999999</v>
      </c>
      <c r="O98">
        <f t="shared" si="5"/>
        <v>8884.5</v>
      </c>
      <c r="P98">
        <f t="shared" si="6"/>
        <v>40.012339896597069</v>
      </c>
      <c r="R98" s="5">
        <v>222.04400000000001</v>
      </c>
    </row>
    <row r="99" spans="1:18" x14ac:dyDescent="0.2">
      <c r="A99" s="6">
        <v>40634</v>
      </c>
      <c r="B99" s="5">
        <v>12727.814</v>
      </c>
      <c r="C99">
        <v>-1.8785123666666665</v>
      </c>
      <c r="D99">
        <v>0.72708155333333335</v>
      </c>
      <c r="E99">
        <v>9.0666666666666682</v>
      </c>
      <c r="F99" s="2">
        <v>9077133333333.334</v>
      </c>
      <c r="G99">
        <v>63822440</v>
      </c>
      <c r="H99" s="5">
        <v>17035.114000000001</v>
      </c>
      <c r="I99" s="4">
        <v>68.599999999999994</v>
      </c>
      <c r="J99">
        <v>11686.088204000001</v>
      </c>
      <c r="K99" s="5">
        <v>224.56800000000001</v>
      </c>
      <c r="L99">
        <v>40.420422025103015</v>
      </c>
      <c r="M99">
        <f t="shared" si="4"/>
        <v>9.3661543709209134</v>
      </c>
      <c r="N99" s="5">
        <f t="shared" si="7"/>
        <v>12671.37875</v>
      </c>
      <c r="O99">
        <f t="shared" si="5"/>
        <v>9077.1333333333332</v>
      </c>
      <c r="P99">
        <f t="shared" si="6"/>
        <v>40.420422025103008</v>
      </c>
      <c r="R99" s="5">
        <v>224.56800000000001</v>
      </c>
    </row>
    <row r="100" spans="1:18" x14ac:dyDescent="0.2">
      <c r="A100" s="6">
        <v>40725</v>
      </c>
      <c r="B100" s="5">
        <v>12795.612999999999</v>
      </c>
      <c r="C100">
        <v>-1.5362599233333336</v>
      </c>
      <c r="D100">
        <v>0.39462204666666673</v>
      </c>
      <c r="E100">
        <v>9</v>
      </c>
      <c r="F100" s="2">
        <v>9450833333333.334</v>
      </c>
      <c r="G100">
        <v>61963585</v>
      </c>
      <c r="H100" s="5">
        <v>17031.312999999998</v>
      </c>
      <c r="I100" s="4">
        <v>68.7</v>
      </c>
      <c r="J100">
        <v>11700.512031</v>
      </c>
      <c r="K100" s="5">
        <v>226.03299999999999</v>
      </c>
      <c r="L100">
        <v>41.811741353401203</v>
      </c>
      <c r="M100">
        <f t="shared" si="4"/>
        <v>9.3673878831615944</v>
      </c>
      <c r="N100" s="5">
        <f t="shared" si="7"/>
        <v>12725.657749999998</v>
      </c>
      <c r="O100">
        <f t="shared" si="5"/>
        <v>9450.8333333333339</v>
      </c>
      <c r="P100">
        <f t="shared" si="6"/>
        <v>41.811741353401203</v>
      </c>
      <c r="R100" s="5">
        <v>226.03299999999999</v>
      </c>
    </row>
    <row r="101" spans="1:18" x14ac:dyDescent="0.2">
      <c r="A101" s="6">
        <v>40817</v>
      </c>
      <c r="B101" s="5">
        <v>12824.419</v>
      </c>
      <c r="C101">
        <v>-1.7303164666666666</v>
      </c>
      <c r="D101">
        <v>0.12670011</v>
      </c>
      <c r="E101">
        <v>8.6333333333333329</v>
      </c>
      <c r="F101" s="2">
        <v>9611600000000</v>
      </c>
      <c r="G101">
        <v>63279495</v>
      </c>
      <c r="H101" s="5">
        <v>17222.582999999999</v>
      </c>
      <c r="I101" s="4">
        <v>68.2</v>
      </c>
      <c r="J101">
        <v>11745.801606000001</v>
      </c>
      <c r="K101" s="5">
        <v>227.047</v>
      </c>
      <c r="L101">
        <v>42.33308522024074</v>
      </c>
      <c r="M101">
        <f t="shared" si="4"/>
        <v>9.3712511455941723</v>
      </c>
      <c r="N101" s="5">
        <f t="shared" si="7"/>
        <v>12775.2335</v>
      </c>
      <c r="O101">
        <f t="shared" si="5"/>
        <v>9611.6</v>
      </c>
      <c r="P101">
        <f t="shared" si="6"/>
        <v>42.333085220240747</v>
      </c>
      <c r="R101" s="5">
        <v>227.047</v>
      </c>
    </row>
    <row r="102" spans="1:18" x14ac:dyDescent="0.2">
      <c r="A102" s="6">
        <v>40909</v>
      </c>
      <c r="B102" s="5">
        <v>13021.21</v>
      </c>
      <c r="C102">
        <v>-1.5283742</v>
      </c>
      <c r="D102">
        <v>0.11239614999999999</v>
      </c>
      <c r="E102">
        <v>8.2666666666666675</v>
      </c>
      <c r="F102" s="2">
        <v>9783200000000</v>
      </c>
      <c r="G102">
        <v>65199903</v>
      </c>
      <c r="H102" s="5">
        <v>17367.009999999998</v>
      </c>
      <c r="I102" s="4">
        <v>68.2</v>
      </c>
      <c r="J102">
        <v>11844.300819999999</v>
      </c>
      <c r="K102" s="5">
        <v>228.32599999999999</v>
      </c>
      <c r="L102">
        <v>42.847507511190138</v>
      </c>
      <c r="M102">
        <f t="shared" si="4"/>
        <v>9.3796020874129606</v>
      </c>
      <c r="N102" s="5">
        <f t="shared" si="7"/>
        <v>12842.263999999999</v>
      </c>
      <c r="O102">
        <f t="shared" si="5"/>
        <v>9783.2000000000007</v>
      </c>
      <c r="P102">
        <f t="shared" si="6"/>
        <v>42.847507511190145</v>
      </c>
      <c r="R102" s="5">
        <v>228.32599999999999</v>
      </c>
    </row>
    <row r="103" spans="1:18" x14ac:dyDescent="0.2">
      <c r="A103" s="6">
        <v>41000</v>
      </c>
      <c r="B103" s="5">
        <v>13108.717000000001</v>
      </c>
      <c r="C103">
        <v>-1.1612300166666667</v>
      </c>
      <c r="D103">
        <v>1.975756666666666E-2</v>
      </c>
      <c r="E103">
        <v>8.1999999999999993</v>
      </c>
      <c r="F103" s="2">
        <v>9937433333333.334</v>
      </c>
      <c r="G103">
        <v>65268489</v>
      </c>
      <c r="H103" s="5">
        <v>17444.525000000001</v>
      </c>
      <c r="I103" s="4">
        <v>67.900000000000006</v>
      </c>
      <c r="J103">
        <v>11844.832475000003</v>
      </c>
      <c r="K103" s="5">
        <v>228.80799999999999</v>
      </c>
      <c r="L103">
        <v>43.431319417735978</v>
      </c>
      <c r="M103">
        <f t="shared" si="4"/>
        <v>9.379646973394518</v>
      </c>
      <c r="N103" s="5">
        <f t="shared" si="7"/>
        <v>12937.489750000001</v>
      </c>
      <c r="O103">
        <f t="shared" si="5"/>
        <v>9937.4333333333343</v>
      </c>
      <c r="P103">
        <f t="shared" si="6"/>
        <v>43.431319417735985</v>
      </c>
      <c r="R103" s="5">
        <v>228.80799999999999</v>
      </c>
    </row>
    <row r="104" spans="1:18" x14ac:dyDescent="0.2">
      <c r="A104" s="6">
        <v>41091</v>
      </c>
      <c r="B104" s="5">
        <v>13004.868</v>
      </c>
      <c r="C104">
        <v>-1.5004583333333332</v>
      </c>
      <c r="D104">
        <v>-9.4722650000000005E-2</v>
      </c>
      <c r="E104">
        <v>8.0333333333333332</v>
      </c>
      <c r="F104" s="2">
        <v>10124633333333.334</v>
      </c>
      <c r="G104">
        <v>67082510</v>
      </c>
      <c r="H104" s="5">
        <v>17469.650000000001</v>
      </c>
      <c r="I104" s="4">
        <v>67.8</v>
      </c>
      <c r="J104">
        <v>11844.422700000001</v>
      </c>
      <c r="K104" s="5">
        <v>229.84100000000001</v>
      </c>
      <c r="L104">
        <v>44.050597296971965</v>
      </c>
      <c r="M104">
        <f t="shared" si="4"/>
        <v>9.3796123775410791</v>
      </c>
      <c r="N104" s="5">
        <f t="shared" si="7"/>
        <v>12989.803500000002</v>
      </c>
      <c r="O104">
        <f t="shared" si="5"/>
        <v>10124.633333333333</v>
      </c>
      <c r="P104">
        <f t="shared" si="6"/>
        <v>44.050597296971965</v>
      </c>
      <c r="R104" s="5">
        <v>229.84100000000001</v>
      </c>
    </row>
    <row r="105" spans="1:18" x14ac:dyDescent="0.2">
      <c r="A105" s="6">
        <v>41183</v>
      </c>
      <c r="B105" s="5">
        <v>13366.76</v>
      </c>
      <c r="C105">
        <v>-1.8957329333333333</v>
      </c>
      <c r="D105">
        <v>-9.0428913333333319E-2</v>
      </c>
      <c r="E105">
        <v>7.8</v>
      </c>
      <c r="F105" s="2">
        <v>10354866666666.666</v>
      </c>
      <c r="G105">
        <v>67976728</v>
      </c>
      <c r="H105" s="5">
        <v>17489.851999999999</v>
      </c>
      <c r="I105" s="4">
        <v>68</v>
      </c>
      <c r="J105">
        <v>11893.09936</v>
      </c>
      <c r="K105" s="5">
        <v>231.369</v>
      </c>
      <c r="L105">
        <v>44.754771238440178</v>
      </c>
      <c r="M105">
        <f t="shared" si="4"/>
        <v>9.3837136251865871</v>
      </c>
      <c r="N105" s="5">
        <f t="shared" si="7"/>
        <v>13125.38875</v>
      </c>
      <c r="O105">
        <f t="shared" si="5"/>
        <v>10354.866666666667</v>
      </c>
      <c r="P105">
        <f t="shared" si="6"/>
        <v>44.754771238440185</v>
      </c>
      <c r="R105" s="5">
        <v>231.369</v>
      </c>
    </row>
    <row r="106" spans="1:18" x14ac:dyDescent="0.2">
      <c r="A106" s="6">
        <v>41275</v>
      </c>
      <c r="B106" s="5">
        <v>12837.166999999999</v>
      </c>
      <c r="C106">
        <v>-0.52444344333333337</v>
      </c>
      <c r="D106">
        <v>0.10228077333333334</v>
      </c>
      <c r="E106">
        <v>7.7333333333333334</v>
      </c>
      <c r="F106" s="2">
        <v>10514166666666.666</v>
      </c>
      <c r="G106">
        <v>70699809</v>
      </c>
      <c r="H106" s="5">
        <v>17662.400000000001</v>
      </c>
      <c r="I106" s="4">
        <v>67.7</v>
      </c>
      <c r="J106">
        <v>11957.444800000003</v>
      </c>
      <c r="K106" s="5">
        <v>232.29900000000001</v>
      </c>
      <c r="L106">
        <v>45.261351390521121</v>
      </c>
      <c r="M106">
        <f t="shared" si="4"/>
        <v>9.3891093591942258</v>
      </c>
      <c r="N106" s="5">
        <f t="shared" si="7"/>
        <v>13079.378000000001</v>
      </c>
      <c r="O106">
        <f t="shared" si="5"/>
        <v>10514.166666666666</v>
      </c>
      <c r="P106">
        <f t="shared" si="6"/>
        <v>45.261351390521121</v>
      </c>
      <c r="R106" s="5">
        <v>232.29900000000001</v>
      </c>
    </row>
    <row r="107" spans="1:18" x14ac:dyDescent="0.2">
      <c r="A107" s="6">
        <v>41365</v>
      </c>
      <c r="B107" s="5">
        <v>12934.441999999999</v>
      </c>
      <c r="C107">
        <v>-0.65569163333333336</v>
      </c>
      <c r="D107">
        <v>6.1363546666666664E-2</v>
      </c>
      <c r="E107">
        <v>7.5333333333333341</v>
      </c>
      <c r="F107" s="2">
        <v>10628666666666.666</v>
      </c>
      <c r="G107">
        <v>71752027</v>
      </c>
      <c r="H107" s="5">
        <v>17709.670999999998</v>
      </c>
      <c r="I107" s="4">
        <v>67.599999999999994</v>
      </c>
      <c r="J107">
        <v>11971.737595999997</v>
      </c>
      <c r="K107" s="5">
        <v>232.04499999999999</v>
      </c>
      <c r="L107">
        <v>45.804333929482063</v>
      </c>
      <c r="M107">
        <f t="shared" si="4"/>
        <v>9.3903039505900505</v>
      </c>
      <c r="N107" s="5">
        <f t="shared" si="7"/>
        <v>13035.809249999998</v>
      </c>
      <c r="O107">
        <f t="shared" si="5"/>
        <v>10628.666666666666</v>
      </c>
      <c r="P107">
        <f t="shared" si="6"/>
        <v>45.80433392948207</v>
      </c>
      <c r="R107" s="5">
        <v>232.04499999999999</v>
      </c>
    </row>
    <row r="108" spans="1:18" x14ac:dyDescent="0.2">
      <c r="A108" s="6">
        <v>41456</v>
      </c>
      <c r="B108" s="5">
        <v>12979.638000000001</v>
      </c>
      <c r="C108">
        <v>-1.0326503566666667</v>
      </c>
      <c r="D108">
        <v>0.52076141333333337</v>
      </c>
      <c r="E108">
        <v>7.2333333333333334</v>
      </c>
      <c r="F108" s="2">
        <v>10777400000000</v>
      </c>
      <c r="G108">
        <v>74083244</v>
      </c>
      <c r="H108" s="5">
        <v>17860.45</v>
      </c>
      <c r="I108" s="4">
        <v>67.3</v>
      </c>
      <c r="J108">
        <v>12020.082849999999</v>
      </c>
      <c r="K108" s="5">
        <v>233.3</v>
      </c>
      <c r="L108">
        <v>46.195456493784825</v>
      </c>
      <c r="M108">
        <f t="shared" si="4"/>
        <v>9.3943341007443131</v>
      </c>
      <c r="N108" s="5">
        <f t="shared" si="7"/>
        <v>13029.501749999999</v>
      </c>
      <c r="O108">
        <f t="shared" si="5"/>
        <v>10777.4</v>
      </c>
      <c r="P108">
        <f t="shared" si="6"/>
        <v>46.195456493784825</v>
      </c>
      <c r="R108" s="5">
        <v>233.3</v>
      </c>
    </row>
    <row r="109" spans="1:18" x14ac:dyDescent="0.2">
      <c r="A109" s="6">
        <v>41548</v>
      </c>
      <c r="B109" s="5">
        <v>12997.522000000001</v>
      </c>
      <c r="C109">
        <v>-1.3358311666666667</v>
      </c>
      <c r="D109">
        <v>0.46696903000000001</v>
      </c>
      <c r="E109">
        <v>6.9333333333333336</v>
      </c>
      <c r="F109" s="2">
        <v>10988766666666.666</v>
      </c>
      <c r="G109">
        <v>76180139</v>
      </c>
      <c r="H109" s="5">
        <v>18016.147000000001</v>
      </c>
      <c r="I109" s="4">
        <v>67.2</v>
      </c>
      <c r="J109">
        <v>12106.850784</v>
      </c>
      <c r="K109" s="5">
        <v>234.16300000000001</v>
      </c>
      <c r="L109">
        <v>46.927852251067272</v>
      </c>
      <c r="M109">
        <f t="shared" si="4"/>
        <v>9.4015267518609953</v>
      </c>
      <c r="N109" s="5">
        <f t="shared" si="7"/>
        <v>12937.19225</v>
      </c>
      <c r="O109">
        <f t="shared" si="5"/>
        <v>10988.766666666666</v>
      </c>
      <c r="P109">
        <f t="shared" si="6"/>
        <v>46.927852251067272</v>
      </c>
      <c r="R109" s="5">
        <v>234.16300000000001</v>
      </c>
    </row>
    <row r="110" spans="1:18" x14ac:dyDescent="0.2">
      <c r="A110" s="6">
        <v>41640</v>
      </c>
      <c r="B110" s="5">
        <v>13149.135</v>
      </c>
      <c r="C110">
        <v>-1.2069475566666668</v>
      </c>
      <c r="D110">
        <v>0.58992239999999996</v>
      </c>
      <c r="E110">
        <v>6.666666666666667</v>
      </c>
      <c r="F110" s="2">
        <v>11155900000000</v>
      </c>
      <c r="G110">
        <v>77879343</v>
      </c>
      <c r="H110" s="5">
        <v>17953.973999999998</v>
      </c>
      <c r="I110" s="4">
        <v>67.7</v>
      </c>
      <c r="J110">
        <v>12154.840397999998</v>
      </c>
      <c r="K110" s="5">
        <v>235.62100000000001</v>
      </c>
      <c r="L110">
        <v>47.346798460239114</v>
      </c>
      <c r="M110">
        <f t="shared" si="4"/>
        <v>9.4054827561004632</v>
      </c>
      <c r="N110" s="5">
        <f t="shared" si="7"/>
        <v>13015.18425</v>
      </c>
      <c r="O110">
        <f t="shared" si="5"/>
        <v>11155.9</v>
      </c>
      <c r="P110">
        <f t="shared" si="6"/>
        <v>47.346798460239107</v>
      </c>
      <c r="R110" s="5">
        <v>235.62100000000001</v>
      </c>
    </row>
    <row r="111" spans="1:18" x14ac:dyDescent="0.2">
      <c r="A111" s="6">
        <v>41730</v>
      </c>
      <c r="B111" s="5">
        <v>13314.492</v>
      </c>
      <c r="C111">
        <v>-1.3440871666666665</v>
      </c>
      <c r="D111">
        <v>0.65120189666666661</v>
      </c>
      <c r="E111">
        <v>6.2</v>
      </c>
      <c r="F111" s="2">
        <v>11317866666666.666</v>
      </c>
      <c r="G111">
        <v>79927103</v>
      </c>
      <c r="H111" s="5">
        <v>18185.911</v>
      </c>
      <c r="I111" s="4">
        <v>67.400000000000006</v>
      </c>
      <c r="J111">
        <v>12257.304014000001</v>
      </c>
      <c r="K111" s="5">
        <v>236.87200000000001</v>
      </c>
      <c r="L111">
        <v>47.780517185090119</v>
      </c>
      <c r="M111">
        <f t="shared" si="4"/>
        <v>9.4138772843296437</v>
      </c>
      <c r="N111" s="5">
        <f t="shared" si="7"/>
        <v>13110.196750000001</v>
      </c>
      <c r="O111">
        <f t="shared" si="5"/>
        <v>11317.866666666667</v>
      </c>
      <c r="P111">
        <f t="shared" si="6"/>
        <v>47.780517185090119</v>
      </c>
      <c r="R111" s="5">
        <v>236.87200000000001</v>
      </c>
    </row>
    <row r="112" spans="1:18" x14ac:dyDescent="0.2">
      <c r="A112" s="6">
        <v>41821</v>
      </c>
      <c r="B112" s="5">
        <v>13439.657999999999</v>
      </c>
      <c r="C112">
        <v>-1.6918315999999998</v>
      </c>
      <c r="D112">
        <v>0.60708686000000001</v>
      </c>
      <c r="E112">
        <v>6.0666666666666673</v>
      </c>
      <c r="F112" s="2">
        <v>11462866666666.666</v>
      </c>
      <c r="G112">
        <v>80519796</v>
      </c>
      <c r="H112" s="5">
        <v>18406.940999999999</v>
      </c>
      <c r="I112" s="4">
        <v>67.2</v>
      </c>
      <c r="J112">
        <v>12369.464351999999</v>
      </c>
      <c r="K112" s="5">
        <v>237.47800000000001</v>
      </c>
      <c r="L112">
        <v>48.269173004095812</v>
      </c>
      <c r="M112">
        <f t="shared" si="4"/>
        <v>9.4229861622662661</v>
      </c>
      <c r="N112" s="5">
        <f t="shared" si="7"/>
        <v>13225.20175</v>
      </c>
      <c r="O112">
        <f t="shared" si="5"/>
        <v>11462.866666666667</v>
      </c>
      <c r="P112">
        <f t="shared" si="6"/>
        <v>48.269173004095819</v>
      </c>
      <c r="R112" s="5">
        <v>237.47800000000001</v>
      </c>
    </row>
    <row r="113" spans="1:18" x14ac:dyDescent="0.2">
      <c r="A113" s="6">
        <v>41913</v>
      </c>
      <c r="B113" s="5">
        <v>13631.343000000001</v>
      </c>
      <c r="C113">
        <v>-1.3210927933333334</v>
      </c>
      <c r="D113">
        <v>0.59966344333333332</v>
      </c>
      <c r="E113">
        <v>5.7</v>
      </c>
      <c r="F113" s="2">
        <v>11618566666666.666</v>
      </c>
      <c r="G113">
        <v>81940738</v>
      </c>
      <c r="H113" s="5">
        <v>18500.030999999999</v>
      </c>
      <c r="I113" s="4">
        <v>67.400000000000006</v>
      </c>
      <c r="J113">
        <v>12469.020893999999</v>
      </c>
      <c r="K113" s="5">
        <v>236.88800000000001</v>
      </c>
      <c r="L113">
        <v>49.046666216383549</v>
      </c>
      <c r="M113">
        <f t="shared" si="4"/>
        <v>9.4310025186708586</v>
      </c>
      <c r="N113" s="5">
        <f t="shared" si="7"/>
        <v>13383.657000000001</v>
      </c>
      <c r="O113">
        <f t="shared" si="5"/>
        <v>11618.566666666666</v>
      </c>
      <c r="P113">
        <f t="shared" si="6"/>
        <v>49.046666216383549</v>
      </c>
      <c r="R113" s="5">
        <v>236.88800000000001</v>
      </c>
    </row>
    <row r="114" spans="1:18" x14ac:dyDescent="0.2">
      <c r="A114" s="6">
        <v>42005</v>
      </c>
      <c r="B114" s="5">
        <v>13818.963</v>
      </c>
      <c r="C114">
        <v>1.1941646533333334</v>
      </c>
      <c r="D114">
        <v>0.66667619999999994</v>
      </c>
      <c r="E114">
        <v>5.5333333333333341</v>
      </c>
      <c r="F114" s="2">
        <v>11837133333333.334</v>
      </c>
      <c r="G114">
        <v>83458489</v>
      </c>
      <c r="H114" s="5">
        <v>18666.620999999999</v>
      </c>
      <c r="I114" s="4">
        <v>67.099999999999994</v>
      </c>
      <c r="J114">
        <v>12525.302690999999</v>
      </c>
      <c r="K114" s="5">
        <v>235.35499999999999</v>
      </c>
      <c r="L114">
        <v>50.294802886419809</v>
      </c>
      <c r="M114">
        <f t="shared" si="4"/>
        <v>9.4355060926071577</v>
      </c>
      <c r="N114" s="5">
        <f t="shared" si="7"/>
        <v>13551.114000000001</v>
      </c>
      <c r="O114">
        <f t="shared" si="5"/>
        <v>11837.133333333333</v>
      </c>
      <c r="P114">
        <f t="shared" si="6"/>
        <v>50.294802886419809</v>
      </c>
      <c r="R114" s="5">
        <v>235.35499999999999</v>
      </c>
    </row>
    <row r="115" spans="1:18" x14ac:dyDescent="0.2">
      <c r="A115" s="6">
        <v>42095</v>
      </c>
      <c r="B115" s="5">
        <v>13860.572</v>
      </c>
      <c r="C115">
        <v>-1.00139055</v>
      </c>
      <c r="D115">
        <v>0.49934058666666664</v>
      </c>
      <c r="E115">
        <v>5.4333333333333336</v>
      </c>
      <c r="F115" s="2">
        <v>11962833333333.334</v>
      </c>
      <c r="G115">
        <v>84202703</v>
      </c>
      <c r="H115" s="5">
        <v>18782.242999999999</v>
      </c>
      <c r="I115" s="4">
        <v>67.099999999999994</v>
      </c>
      <c r="J115">
        <v>12602.885052999998</v>
      </c>
      <c r="K115" s="5">
        <v>236.96</v>
      </c>
      <c r="L115">
        <v>50.484610623452625</v>
      </c>
      <c r="M115">
        <f t="shared" si="4"/>
        <v>9.4416810391896941</v>
      </c>
      <c r="N115" s="5">
        <f t="shared" si="7"/>
        <v>13687.634</v>
      </c>
      <c r="O115">
        <f t="shared" si="5"/>
        <v>11962.833333333334</v>
      </c>
      <c r="P115">
        <f t="shared" si="6"/>
        <v>50.484610623452625</v>
      </c>
      <c r="R115" s="5">
        <v>236.96</v>
      </c>
    </row>
    <row r="116" spans="1:18" x14ac:dyDescent="0.2">
      <c r="A116" s="6">
        <v>42186</v>
      </c>
      <c r="B116" s="5">
        <v>13937.924999999999</v>
      </c>
      <c r="C116">
        <v>-1.4379066333333332</v>
      </c>
      <c r="D116">
        <v>0.57594679000000004</v>
      </c>
      <c r="E116">
        <v>5.1000000000000005</v>
      </c>
      <c r="F116" s="2">
        <v>12104666666666.666</v>
      </c>
      <c r="G116">
        <v>83249846</v>
      </c>
      <c r="H116" s="5">
        <v>18857.418000000001</v>
      </c>
      <c r="I116" s="4">
        <v>67.3</v>
      </c>
      <c r="J116">
        <v>12691.042313999998</v>
      </c>
      <c r="K116" s="5">
        <v>237.85499999999999</v>
      </c>
      <c r="L116">
        <v>50.890948967508216</v>
      </c>
      <c r="M116">
        <f t="shared" si="4"/>
        <v>9.4486516939784302</v>
      </c>
      <c r="N116" s="5">
        <f t="shared" si="7"/>
        <v>13812.20075</v>
      </c>
      <c r="O116">
        <f t="shared" si="5"/>
        <v>12104.666666666666</v>
      </c>
      <c r="P116">
        <f t="shared" si="6"/>
        <v>50.890948967508216</v>
      </c>
      <c r="R116" s="5">
        <v>237.85499999999999</v>
      </c>
    </row>
    <row r="117" spans="1:18" x14ac:dyDescent="0.2">
      <c r="A117" s="6">
        <v>42278</v>
      </c>
      <c r="B117" s="5">
        <v>14016.837</v>
      </c>
      <c r="C117">
        <v>-0.77173495999999997</v>
      </c>
      <c r="D117">
        <v>0.61413321333333337</v>
      </c>
      <c r="E117">
        <v>5.0333333333333332</v>
      </c>
      <c r="F117" s="2">
        <v>12275766666666.666</v>
      </c>
      <c r="G117">
        <v>84735567</v>
      </c>
      <c r="H117" s="5">
        <v>18892.205999999998</v>
      </c>
      <c r="I117" s="4">
        <v>67.400000000000006</v>
      </c>
      <c r="J117">
        <v>12733.346844</v>
      </c>
      <c r="K117" s="5">
        <v>237.83699999999999</v>
      </c>
      <c r="L117">
        <v>51.614200762146623</v>
      </c>
      <c r="M117">
        <f t="shared" si="4"/>
        <v>9.4519795669731135</v>
      </c>
      <c r="N117" s="5">
        <f t="shared" si="7"/>
        <v>13908.57425</v>
      </c>
      <c r="O117">
        <f t="shared" si="5"/>
        <v>12275.766666666666</v>
      </c>
      <c r="P117">
        <f t="shared" si="6"/>
        <v>51.614200762146623</v>
      </c>
      <c r="R117" s="5">
        <v>237.83699999999999</v>
      </c>
    </row>
    <row r="118" spans="1:18" x14ac:dyDescent="0.2">
      <c r="A118" s="6">
        <v>42370</v>
      </c>
      <c r="B118" s="5">
        <v>14130.636</v>
      </c>
      <c r="C118">
        <v>-0.29339820666666666</v>
      </c>
      <c r="D118">
        <v>0.60821712999999999</v>
      </c>
      <c r="E118">
        <v>4.8999999999999995</v>
      </c>
      <c r="F118" s="2">
        <v>12547766666666.666</v>
      </c>
      <c r="G118">
        <v>85872580</v>
      </c>
      <c r="H118" s="5">
        <v>19001.689999999999</v>
      </c>
      <c r="I118" s="4">
        <v>67.599999999999994</v>
      </c>
      <c r="J118">
        <v>12845.142439999998</v>
      </c>
      <c r="K118" s="5">
        <v>237.68899999999999</v>
      </c>
      <c r="L118">
        <v>52.79069147779942</v>
      </c>
      <c r="M118">
        <f t="shared" si="4"/>
        <v>9.4607209986222429</v>
      </c>
      <c r="N118" s="5">
        <f t="shared" si="7"/>
        <v>13986.4925</v>
      </c>
      <c r="O118">
        <f t="shared" si="5"/>
        <v>12547.766666666666</v>
      </c>
      <c r="P118">
        <f t="shared" si="6"/>
        <v>52.79069147779942</v>
      </c>
      <c r="R118" s="5">
        <v>237.68899999999999</v>
      </c>
    </row>
    <row r="119" spans="1:18" x14ac:dyDescent="0.2">
      <c r="A119" s="6">
        <v>42461</v>
      </c>
      <c r="B119" s="5">
        <v>14102.14</v>
      </c>
      <c r="C119">
        <v>-0.97097101000000008</v>
      </c>
      <c r="D119">
        <v>0.42600701000000002</v>
      </c>
      <c r="E119">
        <v>4.9333333333333327</v>
      </c>
      <c r="F119" s="2">
        <v>12765333333333.334</v>
      </c>
      <c r="G119">
        <v>87440607</v>
      </c>
      <c r="H119" s="5">
        <v>19062.708999999999</v>
      </c>
      <c r="I119" s="4">
        <v>67.7</v>
      </c>
      <c r="J119">
        <v>12905.453992999999</v>
      </c>
      <c r="K119" s="5">
        <v>239.59</v>
      </c>
      <c r="L119">
        <v>53.279908732974391</v>
      </c>
      <c r="M119">
        <f t="shared" si="4"/>
        <v>9.4654052911542284</v>
      </c>
      <c r="N119" s="5">
        <f t="shared" si="7"/>
        <v>14046.8845</v>
      </c>
      <c r="O119">
        <f t="shared" si="5"/>
        <v>12765.333333333334</v>
      </c>
      <c r="P119">
        <f t="shared" si="6"/>
        <v>53.279908732974391</v>
      </c>
      <c r="R119" s="5">
        <v>239.59</v>
      </c>
    </row>
    <row r="120" spans="1:18" x14ac:dyDescent="0.2">
      <c r="A120" s="6">
        <v>42552</v>
      </c>
      <c r="B120" s="5">
        <v>14181.975</v>
      </c>
      <c r="C120">
        <v>-1.7071255933333334</v>
      </c>
      <c r="D120">
        <v>0.20275289999999999</v>
      </c>
      <c r="E120">
        <v>4.8999999999999995</v>
      </c>
      <c r="F120" s="2">
        <v>12964700000000</v>
      </c>
      <c r="G120">
        <v>88981434</v>
      </c>
      <c r="H120" s="5">
        <v>19197.937999999998</v>
      </c>
      <c r="I120" s="4">
        <v>67.7</v>
      </c>
      <c r="J120">
        <v>12997.004025999999</v>
      </c>
      <c r="K120" s="5">
        <v>240.607</v>
      </c>
      <c r="L120">
        <v>53.883303478286166</v>
      </c>
      <c r="M120">
        <f t="shared" si="4"/>
        <v>9.4724741503453327</v>
      </c>
      <c r="N120" s="5">
        <f t="shared" si="7"/>
        <v>14107.896999999999</v>
      </c>
      <c r="O120">
        <f t="shared" si="5"/>
        <v>12964.7</v>
      </c>
      <c r="P120">
        <f t="shared" si="6"/>
        <v>53.883303478286173</v>
      </c>
      <c r="R120" s="5">
        <v>240.607</v>
      </c>
    </row>
    <row r="121" spans="1:18" x14ac:dyDescent="0.2">
      <c r="A121" s="6">
        <v>42644</v>
      </c>
      <c r="B121" s="5">
        <v>14274.209000000001</v>
      </c>
      <c r="C121">
        <v>-1.9290058533333336</v>
      </c>
      <c r="D121">
        <v>0.44562090666666671</v>
      </c>
      <c r="E121">
        <v>4.7666666666666666</v>
      </c>
      <c r="F121" s="2">
        <v>13162433333333.334</v>
      </c>
      <c r="G121">
        <v>89585605</v>
      </c>
      <c r="H121" s="5">
        <v>19304.351999999999</v>
      </c>
      <c r="I121" s="4">
        <v>67.7</v>
      </c>
      <c r="J121">
        <v>13069.046304</v>
      </c>
      <c r="K121" s="5">
        <v>242.13499999999999</v>
      </c>
      <c r="L121">
        <v>54.359895650498004</v>
      </c>
      <c r="M121">
        <f t="shared" si="4"/>
        <v>9.4780018356315434</v>
      </c>
      <c r="N121" s="5">
        <f t="shared" si="7"/>
        <v>14172.24</v>
      </c>
      <c r="O121">
        <f t="shared" si="5"/>
        <v>13162.433333333334</v>
      </c>
      <c r="P121">
        <f t="shared" si="6"/>
        <v>54.359895650498004</v>
      </c>
      <c r="R121" s="5">
        <v>242.13499999999999</v>
      </c>
    </row>
    <row r="122" spans="1:18" x14ac:dyDescent="0.2">
      <c r="A122" s="6">
        <v>42736</v>
      </c>
      <c r="B122" s="5">
        <v>14422.281000000001</v>
      </c>
      <c r="C122">
        <v>-0.90382332999999992</v>
      </c>
      <c r="D122">
        <v>0.80551189000000001</v>
      </c>
      <c r="E122">
        <v>4.5666666666666673</v>
      </c>
      <c r="F122" s="2">
        <v>13356366666666.666</v>
      </c>
      <c r="G122">
        <v>91909139</v>
      </c>
      <c r="H122" s="5">
        <v>19398.343000000001</v>
      </c>
      <c r="I122" s="4">
        <v>67.900000000000006</v>
      </c>
      <c r="J122">
        <v>13171.474897000002</v>
      </c>
      <c r="K122" s="5">
        <v>243.839</v>
      </c>
      <c r="L122">
        <v>54.775350401972887</v>
      </c>
      <c r="M122">
        <f t="shared" si="4"/>
        <v>9.4858087776089999</v>
      </c>
      <c r="N122" s="5">
        <f t="shared" si="7"/>
        <v>14245.151250000001</v>
      </c>
      <c r="O122">
        <f t="shared" si="5"/>
        <v>13356.366666666667</v>
      </c>
      <c r="P122">
        <f t="shared" si="6"/>
        <v>54.775350401972887</v>
      </c>
      <c r="R122" s="5">
        <v>243.839</v>
      </c>
    </row>
    <row r="123" spans="1:18" x14ac:dyDescent="0.2">
      <c r="A123" s="6">
        <v>42826</v>
      </c>
      <c r="B123" s="5">
        <v>14579.572</v>
      </c>
      <c r="C123">
        <v>-9.542070333333337E-2</v>
      </c>
      <c r="D123">
        <v>0.75942464333333337</v>
      </c>
      <c r="E123">
        <v>4.3666666666666671</v>
      </c>
      <c r="F123" s="2">
        <v>13527400000000</v>
      </c>
      <c r="G123">
        <v>93805051</v>
      </c>
      <c r="H123" s="5">
        <v>19506.949000000001</v>
      </c>
      <c r="I123" s="4">
        <v>67.8</v>
      </c>
      <c r="J123">
        <v>13225.711421999998</v>
      </c>
      <c r="K123" s="5">
        <v>244.12</v>
      </c>
      <c r="L123">
        <v>55.412911682778962</v>
      </c>
      <c r="M123">
        <f t="shared" si="4"/>
        <v>9.489918049003677</v>
      </c>
      <c r="N123" s="5">
        <f t="shared" si="7"/>
        <v>14364.509250000001</v>
      </c>
      <c r="O123">
        <f t="shared" si="5"/>
        <v>13527.4</v>
      </c>
      <c r="P123">
        <f t="shared" si="6"/>
        <v>55.412911682778962</v>
      </c>
      <c r="R123" s="5">
        <v>244.12</v>
      </c>
    </row>
    <row r="124" spans="1:18" x14ac:dyDescent="0.2">
      <c r="A124" s="6">
        <v>42917</v>
      </c>
      <c r="B124" s="5">
        <v>14681.438</v>
      </c>
      <c r="C124">
        <v>-0.61079391000000005</v>
      </c>
      <c r="D124">
        <v>0.65369630666666667</v>
      </c>
      <c r="E124">
        <v>4.333333333333333</v>
      </c>
      <c r="F124" s="2">
        <v>13670100000000</v>
      </c>
      <c r="G124">
        <v>95465459</v>
      </c>
      <c r="H124" s="5">
        <v>19660.766</v>
      </c>
      <c r="I124" s="4">
        <v>67.7</v>
      </c>
      <c r="J124">
        <v>13310.338582000002</v>
      </c>
      <c r="K124" s="5">
        <v>245.28700000000001</v>
      </c>
      <c r="L124">
        <v>55.731041596171018</v>
      </c>
      <c r="M124">
        <f t="shared" si="4"/>
        <v>9.496296349232404</v>
      </c>
      <c r="N124" s="5">
        <f t="shared" si="7"/>
        <v>14489.375000000002</v>
      </c>
      <c r="O124">
        <f t="shared" si="5"/>
        <v>13670.1</v>
      </c>
      <c r="P124">
        <f t="shared" si="6"/>
        <v>55.731041596171018</v>
      </c>
      <c r="R124" s="5">
        <v>245.28700000000001</v>
      </c>
    </row>
    <row r="125" spans="1:18" x14ac:dyDescent="0.2">
      <c r="A125" s="6">
        <v>43009</v>
      </c>
      <c r="B125" s="5">
        <v>14772.454</v>
      </c>
      <c r="C125">
        <v>-1.5462616966666667</v>
      </c>
      <c r="D125">
        <v>0.68479439666666664</v>
      </c>
      <c r="E125">
        <v>4.166666666666667</v>
      </c>
      <c r="F125" s="2">
        <v>13809300000000</v>
      </c>
      <c r="G125">
        <v>97886194</v>
      </c>
      <c r="H125" s="5">
        <v>19882.351999999999</v>
      </c>
      <c r="I125" s="4">
        <v>67.599999999999994</v>
      </c>
      <c r="J125">
        <v>13440.469951999998</v>
      </c>
      <c r="K125" s="5">
        <v>247.238</v>
      </c>
      <c r="L125">
        <v>55.854278064051641</v>
      </c>
      <c r="M125">
        <f t="shared" si="4"/>
        <v>9.5060255801324871</v>
      </c>
      <c r="N125" s="5">
        <f t="shared" si="7"/>
        <v>14613.936250000001</v>
      </c>
      <c r="O125">
        <f t="shared" si="5"/>
        <v>13809.3</v>
      </c>
      <c r="P125">
        <f t="shared" si="6"/>
        <v>55.854278064051641</v>
      </c>
      <c r="R125" s="5">
        <v>247.238</v>
      </c>
    </row>
    <row r="126" spans="1:18" x14ac:dyDescent="0.2">
      <c r="A126" s="6">
        <v>43101</v>
      </c>
      <c r="B126" s="5">
        <v>14927.504999999999</v>
      </c>
      <c r="C126">
        <v>-8.8161919999999963E-2</v>
      </c>
      <c r="D126">
        <v>0.99726437666666656</v>
      </c>
      <c r="E126">
        <v>4.0333333333333332</v>
      </c>
      <c r="F126" s="2">
        <v>13917400000000</v>
      </c>
      <c r="G126">
        <v>98927914</v>
      </c>
      <c r="H126" s="5">
        <v>20044.077000000001</v>
      </c>
      <c r="I126" s="4">
        <v>67.599999999999994</v>
      </c>
      <c r="J126">
        <v>13549.796051999998</v>
      </c>
      <c r="K126" s="5">
        <v>249.322</v>
      </c>
      <c r="L126">
        <v>55.820986515429844</v>
      </c>
      <c r="M126">
        <f t="shared" si="4"/>
        <v>9.5141267746816567</v>
      </c>
      <c r="N126" s="5">
        <f t="shared" si="7"/>
        <v>14740.242249999999</v>
      </c>
      <c r="O126">
        <f t="shared" si="5"/>
        <v>13917.4</v>
      </c>
      <c r="P126">
        <f t="shared" si="6"/>
        <v>55.820986515429844</v>
      </c>
      <c r="R126" s="5">
        <v>249.322</v>
      </c>
    </row>
    <row r="127" spans="1:18" x14ac:dyDescent="0.2">
      <c r="A127" s="6">
        <v>43191</v>
      </c>
      <c r="B127" s="5">
        <v>15061.42</v>
      </c>
      <c r="C127">
        <v>0.65689980333333331</v>
      </c>
      <c r="D127">
        <v>1.1587247566666665</v>
      </c>
      <c r="E127">
        <v>3.9333333333333336</v>
      </c>
      <c r="F127" s="2">
        <v>14046533333333.334</v>
      </c>
      <c r="G127">
        <v>100168469</v>
      </c>
      <c r="H127" s="5">
        <v>20150.475999999999</v>
      </c>
      <c r="I127" s="4">
        <v>67.5</v>
      </c>
      <c r="J127">
        <v>13601.5713</v>
      </c>
      <c r="K127" s="5">
        <v>250.679</v>
      </c>
      <c r="L127">
        <v>56.033945138337614</v>
      </c>
      <c r="M127">
        <f t="shared" si="4"/>
        <v>9.5179406018149919</v>
      </c>
      <c r="N127" s="5">
        <f t="shared" si="7"/>
        <v>14860.704249999999</v>
      </c>
      <c r="O127">
        <f t="shared" si="5"/>
        <v>14046.533333333335</v>
      </c>
      <c r="P127">
        <f t="shared" si="6"/>
        <v>56.033945138337614</v>
      </c>
      <c r="R127" s="5">
        <v>250.679</v>
      </c>
    </row>
    <row r="128" spans="1:18" x14ac:dyDescent="0.2">
      <c r="A128" s="6">
        <v>43282</v>
      </c>
      <c r="B128" s="5">
        <v>15220.277</v>
      </c>
      <c r="C128">
        <v>-0.30980604333333334</v>
      </c>
      <c r="D128">
        <v>1.1808740766666668</v>
      </c>
      <c r="E128">
        <v>3.7666666666666671</v>
      </c>
      <c r="F128" s="2">
        <v>14177800000000</v>
      </c>
      <c r="G128">
        <v>102114068</v>
      </c>
      <c r="H128" s="5">
        <v>20276.153999999999</v>
      </c>
      <c r="I128" s="4">
        <v>67.3</v>
      </c>
      <c r="J128">
        <v>13645.851641999998</v>
      </c>
      <c r="K128" s="5">
        <v>251.68600000000001</v>
      </c>
      <c r="L128">
        <v>56.331301701326254</v>
      </c>
      <c r="M128">
        <f t="shared" si="4"/>
        <v>9.5211908454124146</v>
      </c>
      <c r="N128" s="5">
        <f t="shared" si="7"/>
        <v>14995.414000000001</v>
      </c>
      <c r="O128">
        <f t="shared" si="5"/>
        <v>14177.8</v>
      </c>
      <c r="P128">
        <f t="shared" si="6"/>
        <v>56.331301701326254</v>
      </c>
      <c r="R128" s="5">
        <v>251.68600000000001</v>
      </c>
    </row>
    <row r="129" spans="1:18" x14ac:dyDescent="0.2">
      <c r="A129" s="6">
        <v>43374</v>
      </c>
      <c r="B129" s="5">
        <v>15365.341</v>
      </c>
      <c r="C129">
        <v>0.13845352</v>
      </c>
      <c r="D129">
        <v>1.2879172733333333</v>
      </c>
      <c r="E129">
        <v>3.8333333333333335</v>
      </c>
      <c r="F129" s="2">
        <v>14274000000000</v>
      </c>
      <c r="G129">
        <v>98464700</v>
      </c>
      <c r="H129" s="5">
        <v>20304.874</v>
      </c>
      <c r="I129" s="4">
        <v>67.400000000000006</v>
      </c>
      <c r="J129">
        <v>13685.485076000001</v>
      </c>
      <c r="K129" s="5">
        <v>252.71100000000001</v>
      </c>
      <c r="L129">
        <v>56.483493001887531</v>
      </c>
      <c r="M129">
        <f t="shared" si="4"/>
        <v>9.5240910666631784</v>
      </c>
      <c r="N129" s="5">
        <f t="shared" si="7"/>
        <v>15143.635749999999</v>
      </c>
      <c r="O129">
        <f t="shared" si="5"/>
        <v>14274</v>
      </c>
      <c r="P129">
        <f t="shared" si="6"/>
        <v>56.483493001887531</v>
      </c>
      <c r="R129" s="5">
        <v>252.71100000000001</v>
      </c>
    </row>
    <row r="130" spans="1:18" x14ac:dyDescent="0.2">
      <c r="A130" s="6">
        <v>43466</v>
      </c>
      <c r="B130" s="5">
        <v>15554.293</v>
      </c>
      <c r="C130">
        <v>2.2878098066666666</v>
      </c>
      <c r="D130">
        <v>0.87527494666666661</v>
      </c>
      <c r="E130">
        <v>3.8666666666666667</v>
      </c>
      <c r="F130" s="2">
        <v>14469933333333.334</v>
      </c>
      <c r="G130">
        <v>104280486</v>
      </c>
      <c r="H130" s="5">
        <v>20431.641</v>
      </c>
      <c r="I130" s="4">
        <v>67</v>
      </c>
      <c r="J130">
        <v>13689.19947</v>
      </c>
      <c r="K130" s="5">
        <v>253.386</v>
      </c>
      <c r="L130">
        <v>57.106285798478737</v>
      </c>
      <c r="M130">
        <f t="shared" si="4"/>
        <v>9.5243624410431504</v>
      </c>
      <c r="N130" s="5">
        <f t="shared" si="7"/>
        <v>15300.33275</v>
      </c>
      <c r="O130">
        <f t="shared" si="5"/>
        <v>14469.933333333334</v>
      </c>
      <c r="P130">
        <f t="shared" si="6"/>
        <v>57.106285798478744</v>
      </c>
      <c r="R130" s="5">
        <v>253.386</v>
      </c>
    </row>
    <row r="131" spans="1:18" x14ac:dyDescent="0.2">
      <c r="A131" s="6">
        <v>43556</v>
      </c>
      <c r="B131" s="5">
        <v>15542.915000000001</v>
      </c>
      <c r="C131">
        <v>2.2779739166666668</v>
      </c>
      <c r="D131">
        <v>0.46067805666666667</v>
      </c>
      <c r="E131">
        <v>3.6333333333333333</v>
      </c>
      <c r="F131" s="2">
        <v>14647300000000</v>
      </c>
      <c r="G131">
        <v>106303164</v>
      </c>
      <c r="H131" s="5">
        <v>20602.275000000001</v>
      </c>
      <c r="I131" s="4">
        <v>67.099999999999994</v>
      </c>
      <c r="J131">
        <v>13824.126525000001</v>
      </c>
      <c r="K131" s="5">
        <v>255.24700000000001</v>
      </c>
      <c r="L131">
        <v>57.384807656897046</v>
      </c>
      <c r="M131">
        <f t="shared" ref="M131:M155" si="8">LN(J131)</f>
        <v>9.5341706435627156</v>
      </c>
      <c r="N131" s="5">
        <f t="shared" si="7"/>
        <v>15420.7065</v>
      </c>
      <c r="O131">
        <f t="shared" ref="O131:O155" si="9">F131/10^9</f>
        <v>14647.3</v>
      </c>
      <c r="P131">
        <f t="shared" ref="P131:P155" si="10">O131/K131</f>
        <v>57.384807656897038</v>
      </c>
      <c r="R131" s="5">
        <v>255.24700000000001</v>
      </c>
    </row>
    <row r="132" spans="1:18" x14ac:dyDescent="0.2">
      <c r="A132" s="6">
        <v>43647</v>
      </c>
      <c r="B132" s="5">
        <v>15647.739</v>
      </c>
      <c r="C132">
        <v>0.66055223666666663</v>
      </c>
      <c r="D132">
        <v>0.36520973000000007</v>
      </c>
      <c r="E132">
        <v>3.6</v>
      </c>
      <c r="F132" s="2">
        <v>14921100000000</v>
      </c>
      <c r="G132">
        <v>106956361</v>
      </c>
      <c r="H132" s="5">
        <v>20843.322</v>
      </c>
      <c r="I132" s="4">
        <v>67</v>
      </c>
      <c r="J132">
        <v>13965.025740000001</v>
      </c>
      <c r="K132" s="5">
        <v>256.089</v>
      </c>
      <c r="L132">
        <v>58.265290582570906</v>
      </c>
      <c r="M132">
        <f t="shared" si="8"/>
        <v>9.5443113215569557</v>
      </c>
      <c r="N132" s="5">
        <f t="shared" si="7"/>
        <v>15527.572</v>
      </c>
      <c r="O132">
        <f t="shared" si="9"/>
        <v>14921.1</v>
      </c>
      <c r="P132">
        <f t="shared" si="10"/>
        <v>58.265290582570906</v>
      </c>
      <c r="R132" s="5">
        <v>256.089</v>
      </c>
    </row>
    <row r="133" spans="1:18" x14ac:dyDescent="0.2">
      <c r="A133" s="6">
        <v>43739</v>
      </c>
      <c r="B133" s="5">
        <v>15722.81</v>
      </c>
      <c r="C133">
        <v>-0.18442748</v>
      </c>
      <c r="D133">
        <v>0.43873376999999997</v>
      </c>
      <c r="E133">
        <v>3.6</v>
      </c>
      <c r="F133" s="2">
        <v>15234566666666.666</v>
      </c>
      <c r="G133">
        <v>110269096</v>
      </c>
      <c r="H133" s="5">
        <v>20985.448</v>
      </c>
      <c r="I133" s="4">
        <v>67</v>
      </c>
      <c r="J133">
        <v>14060.250160000001</v>
      </c>
      <c r="K133" s="5">
        <v>257.88799999999998</v>
      </c>
      <c r="L133">
        <v>59.07435269057369</v>
      </c>
      <c r="M133">
        <f t="shared" si="8"/>
        <v>9.5511069575250094</v>
      </c>
      <c r="N133" s="5">
        <f t="shared" si="7"/>
        <v>15616.939249999999</v>
      </c>
      <c r="O133">
        <f t="shared" si="9"/>
        <v>15234.566666666666</v>
      </c>
      <c r="P133">
        <f t="shared" si="10"/>
        <v>59.07435269057369</v>
      </c>
      <c r="R133" s="5">
        <v>257.88799999999998</v>
      </c>
    </row>
    <row r="134" spans="1:18" x14ac:dyDescent="0.2">
      <c r="A134" s="6">
        <v>43831</v>
      </c>
      <c r="B134" s="5">
        <v>15825.897000000001</v>
      </c>
      <c r="C134">
        <v>0.73867384666666658</v>
      </c>
      <c r="D134">
        <v>0.23108154999999997</v>
      </c>
      <c r="E134">
        <v>3.8333333333333335</v>
      </c>
      <c r="F134" s="2">
        <v>15608333333333.334</v>
      </c>
      <c r="G134">
        <v>104043342</v>
      </c>
      <c r="H134" s="5">
        <v>20693.238000000001</v>
      </c>
      <c r="I134" s="4">
        <v>66.7</v>
      </c>
      <c r="J134">
        <v>13802.389746000001</v>
      </c>
      <c r="K134" s="5">
        <v>258.81799999999998</v>
      </c>
      <c r="L134">
        <v>60.306212602420757</v>
      </c>
      <c r="M134">
        <f t="shared" si="8"/>
        <v>9.5325970261531019</v>
      </c>
      <c r="N134" s="5">
        <f t="shared" ref="N134:N155" si="11">AVERAGE(B131:B134)</f>
        <v>15684.840250000001</v>
      </c>
      <c r="O134">
        <f t="shared" si="9"/>
        <v>15608.333333333334</v>
      </c>
      <c r="P134">
        <f t="shared" si="10"/>
        <v>60.306212602420757</v>
      </c>
      <c r="R134" s="5">
        <v>258.81799999999998</v>
      </c>
    </row>
    <row r="135" spans="1:18" x14ac:dyDescent="0.2">
      <c r="A135" s="6">
        <v>43922</v>
      </c>
      <c r="B135" s="5">
        <v>17395.332999999999</v>
      </c>
      <c r="C135">
        <v>2.5121685133333336</v>
      </c>
      <c r="D135">
        <v>-9.7716766666666663E-2</v>
      </c>
      <c r="E135">
        <v>13</v>
      </c>
      <c r="F135" s="2">
        <v>17660133333333.332</v>
      </c>
      <c r="G135">
        <v>111728584</v>
      </c>
      <c r="H135" s="5">
        <v>19056.616999999998</v>
      </c>
      <c r="I135" s="4">
        <v>66.099999999999994</v>
      </c>
      <c r="J135">
        <v>12596.423836999998</v>
      </c>
      <c r="K135" s="5">
        <v>256.29199999999997</v>
      </c>
      <c r="L135">
        <v>68.906299585368771</v>
      </c>
      <c r="M135">
        <f t="shared" si="8"/>
        <v>9.4411682301940338</v>
      </c>
      <c r="N135" s="5">
        <f t="shared" si="11"/>
        <v>16147.944749999999</v>
      </c>
      <c r="O135">
        <f t="shared" si="9"/>
        <v>17660.133333333331</v>
      </c>
      <c r="P135">
        <f t="shared" si="10"/>
        <v>68.906299585368771</v>
      </c>
      <c r="R135" s="5">
        <v>256.29199999999997</v>
      </c>
    </row>
    <row r="136" spans="1:18" x14ac:dyDescent="0.2">
      <c r="A136" s="6">
        <v>44013</v>
      </c>
      <c r="B136" s="5">
        <v>16778.237000000001</v>
      </c>
      <c r="C136">
        <v>-1.1012422366666665</v>
      </c>
      <c r="D136">
        <v>-0.36527181000000003</v>
      </c>
      <c r="E136">
        <v>8.8000000000000007</v>
      </c>
      <c r="F136" s="2">
        <v>18403200000000</v>
      </c>
      <c r="G136">
        <v>115917021</v>
      </c>
      <c r="H136" s="5">
        <v>20548.793000000001</v>
      </c>
      <c r="I136" s="4">
        <v>66.8</v>
      </c>
      <c r="J136">
        <v>13726.593724</v>
      </c>
      <c r="K136" s="5">
        <v>259.22199999999998</v>
      </c>
      <c r="L136">
        <v>70.993974276874653</v>
      </c>
      <c r="M136">
        <f t="shared" si="8"/>
        <v>9.5270903779607465</v>
      </c>
      <c r="N136" s="5">
        <f t="shared" si="11"/>
        <v>16430.56925</v>
      </c>
      <c r="O136">
        <f t="shared" si="9"/>
        <v>18403.2</v>
      </c>
      <c r="P136">
        <f t="shared" si="10"/>
        <v>70.993974276874653</v>
      </c>
      <c r="R136" s="5">
        <v>259.22199999999998</v>
      </c>
    </row>
    <row r="137" spans="1:18" x14ac:dyDescent="0.2">
      <c r="A137" s="6">
        <v>44105</v>
      </c>
      <c r="B137" s="5">
        <v>16431.388999999999</v>
      </c>
      <c r="C137">
        <v>-1.4630725466666668</v>
      </c>
      <c r="D137">
        <v>-0.24600518333333332</v>
      </c>
      <c r="E137">
        <v>6.7666666666666666</v>
      </c>
      <c r="F137" s="2">
        <v>18930933333333.332</v>
      </c>
      <c r="G137">
        <v>123845414</v>
      </c>
      <c r="H137" s="5">
        <v>20771.690999999999</v>
      </c>
      <c r="I137" s="4">
        <v>66.8</v>
      </c>
      <c r="J137">
        <v>13875.489587999999</v>
      </c>
      <c r="K137" s="5">
        <v>261.09199999999998</v>
      </c>
      <c r="L137">
        <v>72.506753685801684</v>
      </c>
      <c r="M137">
        <f t="shared" si="8"/>
        <v>9.537879223613734</v>
      </c>
      <c r="N137" s="5">
        <f t="shared" si="11"/>
        <v>16607.714</v>
      </c>
      <c r="O137">
        <f t="shared" si="9"/>
        <v>18930.933333333331</v>
      </c>
      <c r="P137">
        <f t="shared" si="10"/>
        <v>72.506753685801684</v>
      </c>
      <c r="R137" s="5">
        <v>261.09199999999998</v>
      </c>
    </row>
    <row r="138" spans="1:18" x14ac:dyDescent="0.2">
      <c r="A138" s="6">
        <v>44197</v>
      </c>
      <c r="B138" s="5">
        <v>18411.663</v>
      </c>
      <c r="C138">
        <v>-1.7146539899999997</v>
      </c>
      <c r="D138">
        <v>-0.15111137999999999</v>
      </c>
      <c r="E138">
        <v>6.2333333333333343</v>
      </c>
      <c r="F138" s="2">
        <v>19599166666666.668</v>
      </c>
      <c r="G138">
        <v>129069681</v>
      </c>
      <c r="H138" s="5">
        <v>21058.379000000001</v>
      </c>
      <c r="I138" s="4">
        <v>67.400000000000006</v>
      </c>
      <c r="J138">
        <v>14193.347446000002</v>
      </c>
      <c r="K138" s="5">
        <v>263.68599999999998</v>
      </c>
      <c r="L138">
        <v>74.327672560039858</v>
      </c>
      <c r="M138">
        <f t="shared" si="8"/>
        <v>9.5605286440954469</v>
      </c>
      <c r="N138" s="5">
        <f t="shared" si="11"/>
        <v>17254.155500000001</v>
      </c>
      <c r="O138">
        <f t="shared" si="9"/>
        <v>19599.166666666668</v>
      </c>
      <c r="P138">
        <f t="shared" si="10"/>
        <v>74.327672560039858</v>
      </c>
      <c r="R138" s="5">
        <v>263.68599999999998</v>
      </c>
    </row>
    <row r="139" spans="1:18" x14ac:dyDescent="0.2">
      <c r="A139" s="6">
        <v>44287</v>
      </c>
      <c r="B139" s="5">
        <v>16975.294999999998</v>
      </c>
      <c r="C139">
        <v>-1.7180574933333332</v>
      </c>
      <c r="D139">
        <v>4.9776556666666666E-2</v>
      </c>
      <c r="E139">
        <v>5.9333333333333327</v>
      </c>
      <c r="F139" s="2">
        <v>20351433333333.332</v>
      </c>
      <c r="G139">
        <v>135613100</v>
      </c>
      <c r="H139" s="5">
        <v>21389.005000000001</v>
      </c>
      <c r="I139" s="4">
        <v>68.5</v>
      </c>
      <c r="J139">
        <v>14651.468425000001</v>
      </c>
      <c r="K139" s="5">
        <v>268.58</v>
      </c>
      <c r="L139">
        <v>75.774195149800192</v>
      </c>
      <c r="M139">
        <f t="shared" si="8"/>
        <v>9.5922958432105396</v>
      </c>
      <c r="N139" s="5">
        <f t="shared" si="11"/>
        <v>17149.146000000001</v>
      </c>
      <c r="O139">
        <f t="shared" si="9"/>
        <v>20351.433333333331</v>
      </c>
      <c r="P139">
        <f t="shared" si="10"/>
        <v>75.774195149800178</v>
      </c>
      <c r="R139" s="5">
        <v>268.58</v>
      </c>
    </row>
    <row r="140" spans="1:18" x14ac:dyDescent="0.2">
      <c r="A140" s="6">
        <v>44378</v>
      </c>
      <c r="B140" s="5">
        <v>16780.248</v>
      </c>
      <c r="C140">
        <v>-2.8984552233333338</v>
      </c>
      <c r="D140">
        <v>-0.14023619333333334</v>
      </c>
      <c r="E140">
        <v>5.0666666666666664</v>
      </c>
      <c r="F140" s="2">
        <v>20825033333333.332</v>
      </c>
      <c r="G140">
        <v>138898732</v>
      </c>
      <c r="H140" s="5">
        <v>21571.420999999998</v>
      </c>
      <c r="I140" s="4">
        <v>68.400000000000006</v>
      </c>
      <c r="J140">
        <v>14754.851963999999</v>
      </c>
      <c r="K140" s="5">
        <v>272.88600000000002</v>
      </c>
      <c r="L140">
        <v>76.314040783819365</v>
      </c>
      <c r="M140">
        <f t="shared" si="8"/>
        <v>9.5993272543887223</v>
      </c>
      <c r="N140" s="5">
        <f t="shared" si="11"/>
        <v>17149.64875</v>
      </c>
      <c r="O140">
        <f t="shared" si="9"/>
        <v>20825.033333333333</v>
      </c>
      <c r="P140">
        <f t="shared" si="10"/>
        <v>76.314040783819365</v>
      </c>
      <c r="R140" s="5">
        <v>272.88600000000002</v>
      </c>
    </row>
    <row r="141" spans="1:18" x14ac:dyDescent="0.2">
      <c r="A141" s="6">
        <v>44470</v>
      </c>
      <c r="B141" s="5">
        <v>16590.361000000001</v>
      </c>
      <c r="C141">
        <v>-2.4564020333333332</v>
      </c>
      <c r="D141">
        <v>0.11452939666666667</v>
      </c>
      <c r="E141">
        <v>4.2</v>
      </c>
      <c r="F141" s="2">
        <v>21326900000000</v>
      </c>
      <c r="G141">
        <v>142994498</v>
      </c>
      <c r="H141" s="5">
        <v>21960.387999999999</v>
      </c>
      <c r="I141" s="4">
        <v>67.900000000000006</v>
      </c>
      <c r="J141">
        <v>14911.103452000001</v>
      </c>
      <c r="K141" s="5">
        <v>278.71899999999999</v>
      </c>
      <c r="L141">
        <v>76.517567873019061</v>
      </c>
      <c r="M141">
        <f t="shared" si="8"/>
        <v>9.6098614125321014</v>
      </c>
      <c r="N141" s="5">
        <f t="shared" si="11"/>
        <v>17189.391749999999</v>
      </c>
      <c r="O141">
        <f t="shared" si="9"/>
        <v>21326.9</v>
      </c>
      <c r="P141">
        <f t="shared" si="10"/>
        <v>76.517567873019075</v>
      </c>
      <c r="R141" s="5">
        <v>278.71899999999999</v>
      </c>
    </row>
    <row r="142" spans="1:18" x14ac:dyDescent="0.2">
      <c r="A142" s="6">
        <v>44562</v>
      </c>
      <c r="B142" s="5">
        <v>16116.797</v>
      </c>
      <c r="C142">
        <v>-2.6263916533333336</v>
      </c>
      <c r="D142">
        <v>0.36939263666666666</v>
      </c>
      <c r="E142">
        <v>3.8333333333333335</v>
      </c>
      <c r="F142" s="2">
        <v>21610300000000</v>
      </c>
      <c r="G142">
        <v>144576026</v>
      </c>
      <c r="H142" s="5">
        <v>21903.85</v>
      </c>
      <c r="I142" s="4">
        <v>68.099999999999994</v>
      </c>
      <c r="J142">
        <v>14916.521849999997</v>
      </c>
      <c r="K142" s="5">
        <v>284.84500000000003</v>
      </c>
      <c r="L142">
        <v>75.866874967087369</v>
      </c>
      <c r="M142">
        <f t="shared" si="8"/>
        <v>9.6102247266078766</v>
      </c>
      <c r="N142" s="5">
        <f t="shared" si="11"/>
        <v>16615.67525</v>
      </c>
      <c r="O142">
        <f t="shared" si="9"/>
        <v>21610.3</v>
      </c>
      <c r="P142">
        <f t="shared" si="10"/>
        <v>75.866874967087355</v>
      </c>
      <c r="R142" s="5">
        <v>284.84500000000003</v>
      </c>
    </row>
    <row r="143" spans="1:18" x14ac:dyDescent="0.2">
      <c r="A143" s="6">
        <v>44652</v>
      </c>
      <c r="B143" s="5">
        <v>16042.803</v>
      </c>
      <c r="C143">
        <v>-3.5028774733333332</v>
      </c>
      <c r="D143">
        <v>1.0594638466666668</v>
      </c>
      <c r="E143">
        <v>3.6333333333333333</v>
      </c>
      <c r="F143" s="2">
        <v>21669566666666.668</v>
      </c>
      <c r="G143">
        <v>138827252</v>
      </c>
      <c r="H143" s="5">
        <v>21919.222000000002</v>
      </c>
      <c r="I143" s="4">
        <v>68.2</v>
      </c>
      <c r="J143">
        <v>14948.909404000002</v>
      </c>
      <c r="K143" s="5">
        <v>291.65100000000001</v>
      </c>
      <c r="L143">
        <v>74.299648095383418</v>
      </c>
      <c r="M143">
        <f t="shared" si="8"/>
        <v>9.6123936265926666</v>
      </c>
      <c r="N143" s="5">
        <f t="shared" si="11"/>
        <v>16382.552249999999</v>
      </c>
      <c r="O143">
        <f t="shared" si="9"/>
        <v>21669.566666666669</v>
      </c>
      <c r="P143">
        <f t="shared" si="10"/>
        <v>74.299648095383418</v>
      </c>
      <c r="R143" s="5">
        <v>291.65100000000001</v>
      </c>
    </row>
    <row r="144" spans="1:18" x14ac:dyDescent="0.2">
      <c r="A144" s="6">
        <v>44743</v>
      </c>
      <c r="B144" s="5">
        <v>16301.966</v>
      </c>
      <c r="C144">
        <v>-1.8210292033333335</v>
      </c>
      <c r="D144">
        <v>1.04068297</v>
      </c>
      <c r="E144">
        <v>3.5333333333333332</v>
      </c>
      <c r="F144" s="2">
        <v>21629466666666.668</v>
      </c>
      <c r="G144">
        <v>135290994</v>
      </c>
      <c r="H144" s="5">
        <v>22066.784</v>
      </c>
      <c r="I144" s="4">
        <v>68</v>
      </c>
      <c r="J144">
        <v>15005.413119999999</v>
      </c>
      <c r="K144" s="5">
        <v>295.50799999999998</v>
      </c>
      <c r="L144">
        <v>73.194183124201942</v>
      </c>
      <c r="M144">
        <f t="shared" si="8"/>
        <v>9.616166289651412</v>
      </c>
      <c r="N144" s="5">
        <f t="shared" si="11"/>
        <v>16262.981750000001</v>
      </c>
      <c r="O144">
        <f t="shared" si="9"/>
        <v>21629.466666666667</v>
      </c>
      <c r="P144">
        <f t="shared" si="10"/>
        <v>73.194183124201942</v>
      </c>
      <c r="R144" s="5">
        <v>295.50799999999998</v>
      </c>
    </row>
    <row r="145" spans="1:18" x14ac:dyDescent="0.2">
      <c r="A145" s="6">
        <v>44835</v>
      </c>
      <c r="B145" s="5">
        <v>16452.852999999999</v>
      </c>
      <c r="C145">
        <v>0.36824243000000001</v>
      </c>
      <c r="D145">
        <v>1.7680567433333334</v>
      </c>
      <c r="E145">
        <v>3.5666666666666664</v>
      </c>
      <c r="F145" s="2">
        <v>21396933333333.332</v>
      </c>
      <c r="G145">
        <v>136397142</v>
      </c>
      <c r="H145" s="5">
        <v>22249.458999999999</v>
      </c>
      <c r="I145" s="4">
        <v>67.7</v>
      </c>
      <c r="J145">
        <v>15062.883743</v>
      </c>
      <c r="K145" s="5">
        <v>298.49799999999999</v>
      </c>
      <c r="L145">
        <v>71.681998986034515</v>
      </c>
      <c r="M145">
        <f t="shared" si="8"/>
        <v>9.6199889666221772</v>
      </c>
      <c r="N145" s="5">
        <f t="shared" si="11"/>
        <v>16228.604749999999</v>
      </c>
      <c r="O145">
        <f t="shared" si="9"/>
        <v>21396.933333333331</v>
      </c>
      <c r="P145">
        <f t="shared" si="10"/>
        <v>71.681998986034515</v>
      </c>
      <c r="R145" s="5">
        <v>298.49799999999999</v>
      </c>
    </row>
    <row r="146" spans="1:18" x14ac:dyDescent="0.2">
      <c r="A146" s="6">
        <v>44927</v>
      </c>
      <c r="B146" s="5">
        <v>16885.337</v>
      </c>
      <c r="C146">
        <v>1.7966247233333332</v>
      </c>
      <c r="D146">
        <v>1.7543124999999999</v>
      </c>
      <c r="E146">
        <v>3.5333333333333332</v>
      </c>
      <c r="F146" s="2">
        <v>21065833333333.332</v>
      </c>
      <c r="G146">
        <v>139528942</v>
      </c>
      <c r="H146" s="5">
        <v>22403.435000000001</v>
      </c>
      <c r="I146" s="4">
        <v>68.099999999999994</v>
      </c>
      <c r="J146">
        <v>15256.739235000001</v>
      </c>
      <c r="K146" s="5">
        <v>301.19200000000001</v>
      </c>
      <c r="L146">
        <v>69.941543378752868</v>
      </c>
      <c r="M146">
        <f t="shared" si="8"/>
        <v>9.6327766014681568</v>
      </c>
      <c r="N146" s="5">
        <f t="shared" si="11"/>
        <v>16420.739750000001</v>
      </c>
      <c r="O146">
        <f t="shared" si="9"/>
        <v>21065.833333333332</v>
      </c>
      <c r="P146">
        <f t="shared" si="10"/>
        <v>69.941543378752854</v>
      </c>
      <c r="R146" s="5">
        <v>301.19200000000001</v>
      </c>
    </row>
    <row r="147" spans="1:18" x14ac:dyDescent="0.2">
      <c r="A147" s="6">
        <v>45017</v>
      </c>
      <c r="B147" s="5">
        <v>17025.223000000002</v>
      </c>
      <c r="C147">
        <v>3.4671780633333333</v>
      </c>
      <c r="D147">
        <v>1.3471496633333331</v>
      </c>
      <c r="E147">
        <v>3.5333333333333332</v>
      </c>
      <c r="F147" s="2">
        <v>20793533333333.332</v>
      </c>
      <c r="G147">
        <v>144835855</v>
      </c>
      <c r="H147" s="5">
        <v>22539.418000000001</v>
      </c>
      <c r="I147" s="4">
        <v>68.099999999999994</v>
      </c>
      <c r="J147">
        <v>15349.343658</v>
      </c>
      <c r="K147" s="5">
        <v>303.42399999999998</v>
      </c>
      <c r="L147">
        <v>68.529626309498695</v>
      </c>
      <c r="M147">
        <f t="shared" si="8"/>
        <v>9.6388279936646928</v>
      </c>
      <c r="N147" s="5">
        <f t="shared" si="11"/>
        <v>16666.34475</v>
      </c>
      <c r="O147">
        <f t="shared" si="9"/>
        <v>20793.533333333333</v>
      </c>
      <c r="P147">
        <f t="shared" si="10"/>
        <v>68.52962630949871</v>
      </c>
      <c r="R147" s="5">
        <v>303.42399999999998</v>
      </c>
    </row>
    <row r="148" spans="1:18" x14ac:dyDescent="0.2">
      <c r="A148" s="6">
        <v>45108</v>
      </c>
      <c r="B148" s="5">
        <v>17082.815999999999</v>
      </c>
      <c r="C148">
        <v>4.2445577466666666</v>
      </c>
      <c r="D148">
        <v>1.5759500766666665</v>
      </c>
      <c r="E148">
        <v>3.6666666666666665</v>
      </c>
      <c r="F148" s="2">
        <v>20814833333333.332</v>
      </c>
      <c r="G148">
        <v>143599138</v>
      </c>
      <c r="H148" s="5">
        <v>22780.933000000001</v>
      </c>
      <c r="I148" s="4">
        <v>67.7</v>
      </c>
      <c r="J148">
        <v>15422.691641000001</v>
      </c>
      <c r="K148" s="5">
        <v>306.04199999999997</v>
      </c>
      <c r="L148">
        <v>68.012996037580891</v>
      </c>
      <c r="M148">
        <f t="shared" si="8"/>
        <v>9.6435951870724033</v>
      </c>
      <c r="N148" s="5">
        <f t="shared" si="11"/>
        <v>16861.557249999998</v>
      </c>
      <c r="O148">
        <f t="shared" si="9"/>
        <v>20814.833333333332</v>
      </c>
      <c r="P148">
        <f t="shared" si="10"/>
        <v>68.012996037580905</v>
      </c>
      <c r="R148" s="5">
        <v>306.04199999999997</v>
      </c>
    </row>
    <row r="149" spans="1:18" x14ac:dyDescent="0.2">
      <c r="A149" s="6">
        <v>45200</v>
      </c>
      <c r="B149" s="5">
        <v>17216.52</v>
      </c>
      <c r="C149">
        <v>2.5306746600000003</v>
      </c>
      <c r="D149">
        <v>1.9525628233333334</v>
      </c>
      <c r="E149">
        <v>3.7999999999999994</v>
      </c>
      <c r="F149" s="2">
        <v>20746500000000</v>
      </c>
      <c r="G149">
        <v>147872412</v>
      </c>
      <c r="H149" s="5">
        <v>22960.6</v>
      </c>
      <c r="I149" s="4">
        <v>67.7</v>
      </c>
      <c r="J149">
        <v>15544.3262</v>
      </c>
      <c r="K149" s="5">
        <v>308.15800000000002</v>
      </c>
      <c r="L149">
        <v>67.324229778230645</v>
      </c>
      <c r="M149">
        <f t="shared" si="8"/>
        <v>9.6514509764263767</v>
      </c>
      <c r="N149" s="5">
        <f t="shared" si="11"/>
        <v>17052.473999999998</v>
      </c>
      <c r="O149">
        <f t="shared" si="9"/>
        <v>20746.5</v>
      </c>
      <c r="P149">
        <f t="shared" si="10"/>
        <v>67.324229778230645</v>
      </c>
      <c r="R149" s="5">
        <v>308.15800000000002</v>
      </c>
    </row>
    <row r="150" spans="1:18" x14ac:dyDescent="0.2">
      <c r="A150" s="6">
        <v>45292</v>
      </c>
      <c r="B150" s="5">
        <v>17451.795999999998</v>
      </c>
      <c r="C150">
        <v>2.6460952500000001</v>
      </c>
      <c r="D150">
        <v>1.7412212766666666</v>
      </c>
      <c r="E150">
        <v>3.8333333333333335</v>
      </c>
      <c r="F150" s="2"/>
      <c r="G150">
        <v>154347745</v>
      </c>
      <c r="H150" s="5">
        <v>23053.544999999998</v>
      </c>
      <c r="I150" s="4">
        <v>67.900000000000006</v>
      </c>
      <c r="J150">
        <v>15653.357054999999</v>
      </c>
      <c r="K150" s="5">
        <v>310.97399999999999</v>
      </c>
      <c r="M150">
        <f t="shared" si="8"/>
        <v>9.6584406812713919</v>
      </c>
      <c r="N150" s="5">
        <f t="shared" si="11"/>
        <v>17194.088750000003</v>
      </c>
      <c r="O150">
        <f t="shared" si="9"/>
        <v>0</v>
      </c>
      <c r="P150">
        <f t="shared" si="10"/>
        <v>0</v>
      </c>
      <c r="R150" s="5">
        <v>310.97399999999999</v>
      </c>
    </row>
    <row r="151" spans="1:18" x14ac:dyDescent="0.2">
      <c r="A151" s="6">
        <v>45383</v>
      </c>
      <c r="B151" s="5">
        <v>17497.190999999999</v>
      </c>
      <c r="C151">
        <v>2.1184687600000003</v>
      </c>
      <c r="D151">
        <v>2.0137198166666668</v>
      </c>
      <c r="E151">
        <v>4</v>
      </c>
      <c r="F151" s="2"/>
      <c r="G151">
        <v>157319013</v>
      </c>
      <c r="H151" s="5">
        <v>23223.905999999999</v>
      </c>
      <c r="I151" s="4">
        <v>67.8</v>
      </c>
      <c r="J151">
        <v>15745.808267999999</v>
      </c>
      <c r="K151" s="5">
        <v>313.096</v>
      </c>
      <c r="M151">
        <f t="shared" si="8"/>
        <v>9.6643294671175024</v>
      </c>
      <c r="N151" s="5">
        <f t="shared" si="11"/>
        <v>17312.080750000001</v>
      </c>
      <c r="O151">
        <f t="shared" si="9"/>
        <v>0</v>
      </c>
      <c r="P151">
        <f t="shared" si="10"/>
        <v>0</v>
      </c>
      <c r="R151" s="5">
        <v>313.096</v>
      </c>
    </row>
    <row r="152" spans="1:18" x14ac:dyDescent="0.2">
      <c r="A152" s="6">
        <v>45474</v>
      </c>
      <c r="B152" s="5">
        <v>17506.381000000001</v>
      </c>
      <c r="C152">
        <v>2.4997732466666669</v>
      </c>
      <c r="D152">
        <v>1.7647221533333333</v>
      </c>
      <c r="E152">
        <v>4.166666666666667</v>
      </c>
      <c r="F152" s="2"/>
      <c r="G152">
        <v>161382988</v>
      </c>
      <c r="H152" s="5">
        <v>23400.294000000002</v>
      </c>
      <c r="I152" s="4">
        <v>67.900000000000006</v>
      </c>
      <c r="J152">
        <v>15888.799626000002</v>
      </c>
      <c r="K152" s="5">
        <v>314.18299999999999</v>
      </c>
      <c r="M152">
        <f t="shared" si="8"/>
        <v>9.6733697139459878</v>
      </c>
      <c r="N152" s="5">
        <f t="shared" si="11"/>
        <v>17417.972000000002</v>
      </c>
      <c r="O152">
        <f t="shared" si="9"/>
        <v>0</v>
      </c>
      <c r="P152">
        <f t="shared" si="10"/>
        <v>0</v>
      </c>
      <c r="R152" s="5">
        <v>314.18299999999999</v>
      </c>
    </row>
    <row r="153" spans="1:18" x14ac:dyDescent="0.2">
      <c r="A153" s="6">
        <v>45566</v>
      </c>
      <c r="B153" s="5">
        <v>17614.208999999999</v>
      </c>
      <c r="C153">
        <v>1.9533247533333331</v>
      </c>
      <c r="D153">
        <v>1.7543113366666667</v>
      </c>
      <c r="E153">
        <v>4.1333333333333337</v>
      </c>
      <c r="F153" s="2"/>
      <c r="G153">
        <v>161923114</v>
      </c>
      <c r="H153" s="5">
        <v>23542.348999999998</v>
      </c>
      <c r="I153" s="4">
        <v>68.099999999999994</v>
      </c>
      <c r="J153">
        <v>16032.339668999997</v>
      </c>
      <c r="K153" s="5">
        <v>316.53899999999999</v>
      </c>
      <c r="M153">
        <f t="shared" si="8"/>
        <v>9.6823631905987746</v>
      </c>
      <c r="N153" s="5">
        <f t="shared" si="11"/>
        <v>17517.394249999998</v>
      </c>
      <c r="O153">
        <f t="shared" si="9"/>
        <v>0</v>
      </c>
      <c r="P153">
        <f t="shared" si="10"/>
        <v>0</v>
      </c>
      <c r="R153" s="5">
        <v>316.53899999999999</v>
      </c>
    </row>
    <row r="154" spans="1:18" x14ac:dyDescent="0.2">
      <c r="A154" s="6">
        <v>45658</v>
      </c>
      <c r="B154" s="5">
        <v>17721.929</v>
      </c>
      <c r="C154">
        <v>1.7431407333333333</v>
      </c>
      <c r="D154">
        <v>1.9807988433333332</v>
      </c>
      <c r="E154">
        <v>4.1000000000000005</v>
      </c>
      <c r="F154" s="2"/>
      <c r="G154">
        <v>160227796</v>
      </c>
      <c r="H154" s="5">
        <v>23512.717000000001</v>
      </c>
      <c r="I154" s="4">
        <v>68.3</v>
      </c>
      <c r="J154">
        <v>16059.185711</v>
      </c>
      <c r="K154" s="5">
        <v>319.49200000000002</v>
      </c>
      <c r="M154">
        <f t="shared" si="8"/>
        <v>9.6840362832887905</v>
      </c>
      <c r="N154" s="5">
        <f t="shared" si="11"/>
        <v>17584.927500000002</v>
      </c>
      <c r="O154">
        <f t="shared" si="9"/>
        <v>0</v>
      </c>
      <c r="P154">
        <f t="shared" si="10"/>
        <v>0</v>
      </c>
      <c r="R154" s="5">
        <v>319.49200000000002</v>
      </c>
    </row>
    <row r="155" spans="1:18" x14ac:dyDescent="0.2">
      <c r="A155" s="6">
        <v>45748</v>
      </c>
      <c r="B155" s="5">
        <v>17851.463</v>
      </c>
      <c r="C155">
        <v>1.2655641666666666</v>
      </c>
      <c r="D155">
        <v>1.7352900099999999</v>
      </c>
      <c r="E155">
        <v>4.166666666666667</v>
      </c>
      <c r="F155" s="2"/>
      <c r="G155">
        <v>167260708</v>
      </c>
      <c r="H155" s="5">
        <v>23703.781999999999</v>
      </c>
      <c r="I155" s="4">
        <v>68</v>
      </c>
      <c r="J155">
        <v>16118.571759999999</v>
      </c>
      <c r="K155" s="5">
        <v>320.8</v>
      </c>
      <c r="M155">
        <f t="shared" si="8"/>
        <v>9.6877274116390861</v>
      </c>
      <c r="N155" s="5">
        <f t="shared" si="11"/>
        <v>17673.495500000001</v>
      </c>
      <c r="O155">
        <f t="shared" si="9"/>
        <v>0</v>
      </c>
      <c r="P155">
        <f t="shared" si="10"/>
        <v>0</v>
      </c>
      <c r="R155" s="5">
        <v>320.8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data_final</vt:lpstr>
      <vt:lpstr>DATOS_BRUTOS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usu406</dc:creator>
  <cp:lastModifiedBy>Miguel Fernández</cp:lastModifiedBy>
  <dcterms:created xsi:type="dcterms:W3CDTF">2025-09-24T13:35:37Z</dcterms:created>
  <dcterms:modified xsi:type="dcterms:W3CDTF">2025-10-01T15:44:56Z</dcterms:modified>
</cp:coreProperties>
</file>